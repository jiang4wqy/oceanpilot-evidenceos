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796a2c58e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93573bd943c482e"/>
    <x:sheet xmlns:r="http://schemas.openxmlformats.org/officeDocument/2006/relationships" name="案例总表" sheetId="2" r:id="R7c80f6ec169340f0"/>
    <x:sheet xmlns:r="http://schemas.openxmlformats.org/officeDocument/2006/relationships" name="处理流程" sheetId="3" r:id="R5956193b90944292"/>
    <x:sheet xmlns:r="http://schemas.openxmlformats.org/officeDocument/2006/relationships" name="证据明细" sheetId="4" r:id="Rb4081509e36c4f4e"/>
    <x:sheet xmlns:r="http://schemas.openxmlformats.org/officeDocument/2006/relationships" name="来源登记" sheetId="5" r:id="R620afb5b87694c15"/>
    <x:sheet xmlns:r="http://schemas.openxmlformats.org/officeDocument/2006/relationships" name="枚举映射" sheetId="6" r:id="R6b00ee60cf124249"/>
    <x:sheet xmlns:r="http://schemas.openxmlformats.org/officeDocument/2006/relationships" name="覆盖看板" sheetId="7" r:id="R9906247a36c944e3"/>
  </x:sheets>
</x:workbook>
</file>

<file path=xl/comments1.xml><?xml version="1.0" encoding="utf-8"?>
<x:comments xmlns:x="http://schemas.openxmlformats.org/spreadsheetml/2006/main">
  <x:authors>
    <x:author>tc={159E06C9-B35B-5725-5D4C-388B2FC9597F}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结果层级拆分是本案例库最重要的数据质量控制：FOS支持消费者，不必然等于卡组织拒付胜诉。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0.00"/>
    <x:numFmt numFmtId="201" formatCode="0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53E75"/>
      <x:name val="Carlito"/>
    </x:font>
    <x:font>
      <x:b/>
      <x:sz val="11"/>
      <x:color rgb="FF7A4E00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sz val="9"/>
      <x:color rgb="FF172033"/>
      <x:name val="Aptos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B60"/>
      </x:patternFill>
    </x:fill>
    <x:fill>
      <x:patternFill patternType="solid">
        <x:fgColor rgb="FFDCEAF7"/>
      </x:patternFill>
    </x:fill>
    <x:fill>
      <x:patternFill patternType="solid">
        <x:fgColor rgb="FFFFF4CE"/>
      </x:patternFill>
    </x:fill>
    <x:fill>
      <x:patternFill patternType="solid">
        <x:fgColor rgb="FF153E75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6587f4e914331" /><Relationship Type="http://schemas.openxmlformats.org/officeDocument/2006/relationships/theme" Target="/xl/theme/theme1.xml" Id="R8aed4b9dac9147c8" /><Relationship Type="http://schemas.microsoft.com/office/2022/11/relationships/FeaturePropertyBag" Target="/xl/featurePropertyBag/featurePropertyBag.xml" Id="Ra7fadf0d4d364cb7" /><Relationship Type="http://schemas.openxmlformats.org/officeDocument/2006/relationships/sharedStrings" Target="/xl/sharedStrings.xml" Id="R37a4aa6b846e4707" /><Relationship Type="http://schemas.openxmlformats.org/officeDocument/2006/relationships/worksheet" Target="/xl/worksheets/sheet1.xml" Id="Rb93573bd943c482e" /><Relationship Type="http://schemas.openxmlformats.org/officeDocument/2006/relationships/worksheet" Target="/xl/worksheets/sheet2.xml" Id="R7c80f6ec169340f0" /><Relationship Type="http://schemas.openxmlformats.org/officeDocument/2006/relationships/worksheet" Target="/xl/worksheets/sheet3.xml" Id="R5956193b90944292" /><Relationship Type="http://schemas.openxmlformats.org/officeDocument/2006/relationships/worksheet" Target="/xl/worksheets/sheet4.xml" Id="Rb4081509e36c4f4e" /><Relationship Type="http://schemas.openxmlformats.org/officeDocument/2006/relationships/worksheet" Target="/xl/worksheets/sheet5.xml" Id="R620afb5b87694c15" /><Relationship Type="http://schemas.openxmlformats.org/officeDocument/2006/relationships/worksheet" Target="/xl/worksheets/sheet6.xml" Id="R6b00ee60cf124249" /><Relationship Type="http://schemas.openxmlformats.org/officeDocument/2006/relationships/worksheet" Target="/xl/worksheets/sheet7.xml" Id="R9906247a36c944e3" /><Relationship Type="http://schemas.microsoft.com/office/2017/10/relationships/person" Target="/xl/persons/person.xml" Id="Ra4d25f53dedb40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a7aaf6f8f24d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7类理由族案例覆盖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案例数</c:v>
          </c:tx>
          <c:cat>
            <c:strRef>
              <c:f>'覆盖看板'!$D$4:$D$10</c:f>
              <c:strCache>
                <c:ptCount val="0"/>
              </c:strCache>
            </c:strRef>
          </c:cat>
          <c:val>
            <c:numRef>
              <c:f>'覆盖看板'!$E$4:$E$10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a7aaf6f8f24da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zhuzelin" id="{0C782B3A-2D86-4E79-A995-6FF7E8D611C4}"/>
</xltc:personList>
</file>

<file path=xl/tables/table1.xml><?xml version="1.0" encoding="utf-8"?>
<x:table xmlns:x="http://schemas.openxmlformats.org/spreadsheetml/2006/main" id="1" name="CasesTable" displayName="CasesTable" ref="A1:AF37" headerRowCount="1" totalsRowCount="0" totalsRowShown="0">
  <x:tableColumns count="32">
    <x:tableColumn id="1" name="case_id"/>
    <x:tableColumn id="2" name="title"/>
    <x:tableColumn id="3" name="authenticity"/>
    <x:tableColumn id="4" name="evidence_level"/>
    <x:tableColumn id="5" name="synthetic"/>
    <x:tableColumn id="6" name="industry"/>
    <x:tableColumn id="7" name="item_type"/>
    <x:tableColumn id="8" name="jurisdiction"/>
    <x:tableColumn id="9" name="amount"/>
    <x:tableColumn id="10" name="currency"/>
    <x:tableColumn id="11" name="card_network"/>
    <x:tableColumn id="12" name="original_reason_code"/>
    <x:tableColumn id="13" name="reason_code"/>
    <x:tableColumn id="14" name="cardholder_claim"/>
    <x:tableColumn id="15" name="merchant_claim"/>
    <x:tableColumn id="16" name="core_conflict"/>
    <x:tableColumn id="17" name="dispute_stage"/>
    <x:tableColumn id="18" name="chargeback_outcome"/>
    <x:tableColumn id="19" name="adjudication_outcome"/>
    <x:tableColumn id="20" name="outcome_scope"/>
    <x:tableColumn id="21" name="result_summary"/>
    <x:tableColumn id="22" name="redo_action"/>
    <x:tableColumn id="23" name="special_tags"/>
    <x:tableColumn id="24" name="responsible_team"/>
    <x:tableColumn id="25" name="manual_review_reason"/>
    <x:tableColumn id="26" name="oceanpilot_can_handle"/>
    <x:tableColumn id="27" name="product_gap"/>
    <x:tableColumn id="28" name="recommendation"/>
    <x:tableColumn id="29" name="source_id"/>
    <x:tableColumn id="30" name="rule_basis"/>
    <x:tableColumn id="31" name="import_outcom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epsTable" displayName="StepsTable" ref="A1:H253" headerRowCount="1" totalsRowCount="0" totalsRowShown="0">
  <x:tableColumns count="8">
    <x:tableColumn id="1" name="case_id"/>
    <x:tableColumn id="2" name="step_no"/>
    <x:tableColumn id="3" name="phase"/>
    <x:tableColumn id="4" name="owner"/>
    <x:tableColumn id="5" name="action"/>
    <x:tableColumn id="6" name="output"/>
    <x:tableColumn id="7" name="deadline_rule"/>
    <x:tableColumn id="8" name="esca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1:L169" headerRowCount="1" totalsRowCount="0" totalsRowShown="0">
  <x:tableColumns count="12">
    <x:tableColumn id="1" name="case_id"/>
    <x:tableColumn id="2" name="evidence_code"/>
    <x:tableColumn id="3" name="evidence_name"/>
    <x:tableColumn id="4" name="required"/>
    <x:tableColumn id="5" name="available"/>
    <x:tableColumn id="6" name="source"/>
    <x:tableColumn id="7" name="quality"/>
    <x:tableColumn id="8" name="critical"/>
    <x:tableColumn id="9" name="why"/>
    <x:tableColumn id="10" name="missing_impact"/>
    <x:tableColumn id="11" name="contradiction"/>
    <x:tableColumn id="12" name="priv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H23" headerRowCount="1" totalsRowCount="0" totalsRowShown="0">
  <x:tableColumns count="8">
    <x:tableColumn id="1" name="source_id"/>
    <x:tableColumn id="2" name="title"/>
    <x:tableColumn id="3" name="institution"/>
    <x:tableColumn id="4" name="url"/>
    <x:tableColumn id="5" name="publication_date"/>
    <x:tableColumn id="6" name="accessed_date"/>
    <x:tableColumn id="7" name="authenticity"/>
    <x:tableColumn id="8" name="scope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sTable" displayName="EnumsTable" ref="A1:C46" headerRowCount="1" totalsRowCount="0" totalsRowShown="0">
  <x:tableColumns count="3">
    <x:tableColumn id="1" name="category"/>
    <x:tableColumn id="2" name="enum_value"/>
    <x:tableColumn id="3" name="中文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14T02:20:01.69" personId="{0C782B3A-2D86-4E79-A995-6FF7E8D611C4}" id="{159E06C9-B35B-5725-5D4C-388B2FC9597F}">
    <xltc:text>结果层级拆分是本案例库最重要的数据质量控制：FOS支持消费者，不必然等于卡组织拒付胜诉。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2553112f16948c7" /><Relationship Type="http://schemas.openxmlformats.org/officeDocument/2006/relationships/vmlDrawing" Target="/xl/drawings/vmldrawing.vml" Id="R977ed2baff0d474b" /><Relationship Type="http://schemas.microsoft.com/office/2017/10/relationships/threadedComment" Target="/xl/threadedcomments/threadedcomment.xml" Id="Rf96b6bfced8943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a48a1d94be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eb845f00344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59564015d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a22363307044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f68b8193241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c635e3a402c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44" customHeight="1">
      <x:c r="A1" s="3" t="str">
        <x:v>OceanPilot 公开拒付案例库 v1</x:v>
      </x:c>
      <x:c r="B1" s="3"/>
      <x:c r="C1" s="3"/>
      <x:c r="D1" s="3"/>
      <x:c r="E1" s="3"/>
      <x:c r="F1" s="3"/>
      <x:c r="G1" s="3"/>
      <x:c r="H1" s="3"/>
    </x:row>
    <x:row r="3" ht="48" customHeight="1">
      <x:c r="A3" s="6" t="str">
        <x:v>定位</x:v>
      </x:c>
      <x:c r="B3" s="7" t="str">
        <x:v>用于产品完善、离线测试、导师讨论和演示，不是Oceanpayment生产规则库。</x:v>
      </x:c>
    </x:row>
    <x:row r="4" ht="48" customHeight="1">
      <x:c r="A4" s="6" t="str">
        <x:v>真实性</x:v>
      </x:c>
      <x:c r="B4" s="7" t="str">
        <x:v>PUBLIC_FINAL_DECISION=公开匿名最终决定；OFFICIAL_RULE_EXAMPLE=官方规则/示例；RULE_DERIVED_SYNTHETIC=规则推演合成。</x:v>
      </x:c>
    </x:row>
    <x:row r="5" ht="48" customHeight="1">
      <x:c r="A5" s="6" t="str">
        <x:v>结果口径</x:v>
      </x:c>
      <x:c r="B5" s="7" t="str">
        <x:v>chargeback_outcome记录拒付链路结果；adjudication_outcome记录申诉专员等外部裁决。两者不得混写。</x:v>
      </x:c>
    </x:row>
    <x:row r="6" ht="48" customHeight="1">
      <x:c r="A6" s="6" t="str">
        <x:v>未知字段</x:v>
      </x:c>
      <x:c r="B6" s="7" t="str">
        <x:v>公开来源未披露的卡组织、理由码、金额或日期保持UNKNOWN/NOT_DISCLOSED，禁止猜测。</x:v>
      </x:c>
    </x:row>
    <x:row r="7" ht="48" customHeight="1">
      <x:c r="A7" s="6" t="str">
        <x:v>合成案例</x:v>
      </x:c>
      <x:c r="B7" s="7" t="str">
        <x:v>所有SYN案例synthetic=true，结果均为模拟预期；不得用于计算或宣传真实胜诉率。</x:v>
      </x:c>
    </x:row>
    <x:row r="8" ht="48" customHeight="1">
      <x:c r="A8" s="6" t="str">
        <x:v>隐私红线</x:v>
      </x:c>
      <x:c r="B8" s="7" t="str">
        <x:v>不存姓名、卡号、地址、真实订单号、IP/设备指纹原值、密钥或内部链接；只存证据类别与是否存在。</x:v>
      </x:c>
    </x:row>
    <x:row r="9" ht="48" customHeight="1">
      <x:c r="A9" s="6" t="str">
        <x:v>使用顺序</x:v>
      </x:c>
      <x:c r="B9" s="7" t="str">
        <x:v>先在案例总表筛选理由/行业/特殊标签，再查看处理流程与证据明细，最后把产品缺口转为规则或测试。</x:v>
      </x:c>
    </x:row>
    <x:row r="10" ht="48" customHeight="1">
      <x:c r="A10" s="6" t="str">
        <x:v>反馈建议</x:v>
      </x:c>
      <x:c r="B10" s="7" t="str">
        <x:v>同事可对reason_code、责任团队、关键证据、流程步骤和结果解释逐项标注：正确/需修改/不适用。</x:v>
      </x:c>
    </x:row>
    <x:row r="12" ht="38" customHeight="1">
      <x:c r="A12" s="10" t="str">
        <x:v>来源均以链接和摘要保留；使用前需由Oceanpayment业务专家确认适用版本、收单链路和内部SOP。</x:v>
      </x:c>
      <x:c r="B12" s="10"/>
      <x:c r="C12" s="10"/>
      <x:c r="D12" s="10"/>
      <x:c r="E12" s="10"/>
      <x:c r="F12" s="10"/>
      <x:c r="G12" s="10"/>
      <x:c r="H12" s="10"/>
    </x:row>
  </x:sheetData>
  <x:mergeCells>
    <x:mergeCell ref="A1:H1"/>
    <x:mergeCell ref="A12:H12"/>
  </x:mergeCells>
  <x:pageMargins left="0.7" right="0.7" top="0.75" bottom="0.75" header="0.3" footer="0.3"/>
  <x:legacyDrawing xmlns:r="http://schemas.openxmlformats.org/officeDocument/2006/relationships" r:id="R977ed2baff0d474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16" hidden="0" customWidth="1"/>
    <x:col min="5" max="5" width="10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0" hidden="0" customWidth="1"/>
    <x:col min="11" max="11" width="14" hidden="0" customWidth="1"/>
    <x:col min="12" max="12" width="20" hidden="0" customWidth="1"/>
    <x:col min="13" max="13" width="23" hidden="0" customWidth="1"/>
    <x:col min="14" max="14" width="34" hidden="0" customWidth="1"/>
    <x:col min="15" max="15" width="34" hidden="0" customWidth="1"/>
    <x:col min="16" max="16" width="36" hidden="0" customWidth="1"/>
    <x:col min="17" max="17" width="20" hidden="0" customWidth="1"/>
    <x:col min="18" max="18" width="22" hidden="0" customWidth="1"/>
    <x:col min="19" max="19" width="22" hidden="0" customWidth="1"/>
    <x:col min="20" max="20" width="22" hidden="0" customWidth="1"/>
    <x:col min="21" max="21" width="40" hidden="0" customWidth="1"/>
    <x:col min="22" max="22" width="36" hidden="0" customWidth="1"/>
    <x:col min="23" max="23" width="26" hidden="0" customWidth="1"/>
    <x:col min="24" max="24" width="22" hidden="0" customWidth="1"/>
    <x:col min="25" max="25" width="26" hidden="0" customWidth="1"/>
    <x:col min="26" max="26" width="18" hidden="0" customWidth="1"/>
    <x:col min="27" max="27" width="34" hidden="0" customWidth="1"/>
    <x:col min="28" max="28" width="34" hidden="0" customWidth="1"/>
    <x:col min="29" max="29" width="18" hidden="0" customWidth="1"/>
    <x:col min="30" max="30" width="34" hidden="0" customWidth="1"/>
    <x:col min="31" max="31" width="16" hidden="0" customWidth="1"/>
    <x:col min="32" max="32" width="30" hidden="0" customWidth="1"/>
  </x:cols>
  <x:sheetData>
    <x:row r="1" ht="34" customHeight="1">
      <x:c r="A1" s="19" t="str">
        <x:v>case_id</x:v>
      </x:c>
      <x:c r="B1" s="19" t="str">
        <x:v>title</x:v>
      </x:c>
      <x:c r="C1" s="19" t="str">
        <x:v>authenticity</x:v>
      </x:c>
      <x:c r="D1" s="19" t="str">
        <x:v>evidence_level</x:v>
      </x:c>
      <x:c r="E1" s="19" t="str">
        <x:v>synthetic</x:v>
      </x:c>
      <x:c r="F1" s="19" t="str">
        <x:v>industry</x:v>
      </x:c>
      <x:c r="G1" s="19" t="str">
        <x:v>item_type</x:v>
      </x:c>
      <x:c r="H1" s="19" t="str">
        <x:v>jurisdiction</x:v>
      </x:c>
      <x:c r="I1" s="19" t="str">
        <x:v>amount</x:v>
      </x:c>
      <x:c r="J1" s="19" t="str">
        <x:v>currency</x:v>
      </x:c>
      <x:c r="K1" s="19" t="str">
        <x:v>card_network</x:v>
      </x:c>
      <x:c r="L1" s="19" t="str">
        <x:v>original_reason_code</x:v>
      </x:c>
      <x:c r="M1" s="19" t="str">
        <x:v>reason_code</x:v>
      </x:c>
      <x:c r="N1" s="19" t="str">
        <x:v>cardholder_claim</x:v>
      </x:c>
      <x:c r="O1" s="19" t="str">
        <x:v>merchant_claim</x:v>
      </x:c>
      <x:c r="P1" s="19" t="str">
        <x:v>core_conflict</x:v>
      </x:c>
      <x:c r="Q1" s="19" t="str">
        <x:v>dispute_stage</x:v>
      </x:c>
      <x:c r="R1" s="19" t="str">
        <x:v>chargeback_outcome</x:v>
      </x:c>
      <x:c r="S1" s="19" t="str">
        <x:v>adjudication_outcome</x:v>
      </x:c>
      <x:c r="T1" s="19" t="str">
        <x:v>outcome_scope</x:v>
      </x:c>
      <x:c r="U1" s="19" t="str">
        <x:v>result_summary</x:v>
      </x:c>
      <x:c r="V1" s="19" t="str">
        <x:v>redo_action</x:v>
      </x:c>
      <x:c r="W1" s="19" t="str">
        <x:v>special_tags</x:v>
      </x:c>
      <x:c r="X1" s="19" t="str">
        <x:v>responsible_team</x:v>
      </x:c>
      <x:c r="Y1" s="19" t="str">
        <x:v>manual_review_reason</x:v>
      </x:c>
      <x:c r="Z1" s="19" t="str">
        <x:v>oceanpilot_can_handle</x:v>
      </x:c>
      <x:c r="AA1" s="19" t="str">
        <x:v>product_gap</x:v>
      </x:c>
      <x:c r="AB1" s="19" t="str">
        <x:v>recommendation</x:v>
      </x:c>
      <x:c r="AC1" s="19" t="str">
        <x:v>source_id</x:v>
      </x:c>
      <x:c r="AD1" s="19" t="str">
        <x:v>rule_basis</x:v>
      </x:c>
      <x:c r="AE1" s="19" t="str">
        <x:v>import_outcome</x:v>
      </x:c>
      <x:c r="AF1" s="19" t="str">
        <x:v>notes</x:v>
      </x:c>
    </x:row>
    <x:row r="2" ht="66" customHeight="1">
      <x:c r="A2" s="20" t="str">
        <x:v>PUB-001</x:v>
      </x:c>
      <x:c r="B2" s="20" t="str">
        <x:v>未授权理由被商户身份链反驳</x:v>
      </x:c>
      <x:c r="C2" s="20" t="str">
        <x:v>PUBLIC_FINAL_DECISION</x:v>
      </x:c>
      <x:c r="D2" s="20" t="str">
        <x:v>A-PUBLIC-FINAL</x:v>
      </x:c>
      <x:c r="E2" s="21" t="b">
        <x:v>0</x:v>
      </x:c>
      <x:c r="F2" s="20" t="str">
        <x:v>专业服务</x:v>
      </x:c>
      <x:c r="G2" s="20" t="str">
        <x:v>数字服务</x:v>
      </x:c>
      <x:c r="H2" s="20" t="str">
        <x:v>英国</x:v>
      </x:c>
      <x:c r="I2" s="22" t="n">
        <x:v>429</x:v>
      </x:c>
      <x:c r="J2" s="20" t="str">
        <x:v>GBP</x:v>
      </x:c>
      <x:c r="K2" s="20" t="str">
        <x:v>NOT_DISCLOSED</x:v>
      </x:c>
      <x:c r="L2" s="20" t="str">
        <x:v>NOT_DISCLOSED</x:v>
      </x:c>
      <x:c r="M2" s="20" t="str">
        <x:v>FRAUD_CARD_NOT_PRESENT</x:v>
      </x:c>
      <x:c r="N2" s="20" t="str">
        <x:v>消费者先称不认识交易，后承认本人付款但质疑服务</x:v>
      </x:c>
      <x:c r="O2" s="20" t="str">
        <x:v>商户证明真实卡资料、长期账户、邮箱手机验证、稳定网络和服务履行</x:v>
      </x:c>
      <x:c r="P2" s="20" t="str">
        <x:v>商户综合身份与服务证据反驳未授权主张</x:v>
      </x:c>
      <x:c r="Q2" s="20" t="str">
        <x:v>FINAL_PUBLIC_DECISION</x:v>
      </x:c>
      <x:c r="R2" s="20" t="str">
        <x:v>MERCHANT_PREVAILED</x:v>
      </x:c>
      <x:c r="S2" s="20" t="str">
        <x:v>COMPLAINT_NOT_UPHELD</x:v>
      </x:c>
      <x:c r="T2" s="20" t="str">
        <x:v>FOS_FINAL_DECISION</x:v>
      </x:c>
      <x:c r="U2" s="20" t="str">
        <x:v>真实结果：拒付失败，临时退款收回；银行误称可二次拒付，仅另赔£50</x:v>
      </x:c>
      <x:c r="V2" s="20" t="str">
        <x:v>先确认主张究竟是未授权还是服务争议；不能在一次失败后随意换理由重提</x:v>
      </x:c>
      <x:c r="W2" s="20" t="str">
        <x:v>PUBLIC_DECISION</x:v>
      </x:c>
      <x:c r="X2" s="20" t="str">
        <x:v>RISK</x:v>
      </x:c>
      <x:c r="Y2" s="20" t="str">
        <x:v>PUBLIC_CASE_NOT_IMPORTABLE</x:v>
      </x:c>
      <x:c r="Z2" s="20" t="str">
        <x:v>PARTIAL</x:v>
      </x:c>
      <x:c r="AA2" s="20" t="str">
        <x:v>先确认主张究竟是未授权还是服务争议；不能在一次失败后随意换理由重提</x:v>
      </x:c>
      <x:c r="AB2" s="20" t="str">
        <x:v>先确认主张究竟是未授权还是服务争议；不能在一次失败后随意换理由重提</x:v>
      </x:c>
      <x:c r="AC2" s="20" t="str">
        <x:v>SRC-DRN-4956156</x:v>
      </x:c>
      <x:c r="AD2" s="20" t="str">
        <x:v>公开最终决定事实摘要；不推断未披露字段</x:v>
      </x:c>
      <x:c r="AE2" s="20" t="str"/>
      <x:c r="AF2" s="20" t="str">
        <x:v>真实公开案例不进入CaseSampleRecord导入文件。</x:v>
      </x:c>
    </x:row>
    <x:row r="3" ht="66" customHeight="1">
      <x:c r="A3" s="20" t="str">
        <x:v>PUB-002</x:v>
      </x:c>
      <x:c r="B3" s="20" t="str">
        <x:v>自动续订但无取消证明</x:v>
      </x:c>
      <x:c r="C3" s="20" t="str">
        <x:v>PUBLIC_FINAL_DECISION</x:v>
      </x:c>
      <x:c r="D3" s="20" t="str">
        <x:v>A-PUBLIC-FINAL</x:v>
      </x:c>
      <x:c r="E3" s="21" t="b">
        <x:v>0</x:v>
      </x:c>
      <x:c r="F3" s="20" t="str">
        <x:v>订阅服务</x:v>
      </x:c>
      <x:c r="G3" s="20" t="str">
        <x:v>数字订阅</x:v>
      </x:c>
      <x:c r="H3" s="20" t="str">
        <x:v>英国</x:v>
      </x:c>
      <x:c r="I3" s="22" t="n">
        <x:v>115.13</x:v>
      </x:c>
      <x:c r="J3" s="20" t="str">
        <x:v>GBP</x:v>
      </x:c>
      <x:c r="K3" s="20" t="str">
        <x:v>NOT_DISCLOSED</x:v>
      </x:c>
      <x:c r="L3" s="20" t="str">
        <x:v>NOT_DISCLOSED</x:v>
      </x:c>
      <x:c r="M3" s="20" t="str">
        <x:v>SUBSCRIPTION_CANCELED</x:v>
      </x:c>
      <x:c r="N3" s="20" t="str">
        <x:v>消费者称续订前已取消，但没有确认邮件或表单回执</x:v>
      </x:c>
      <x:c r="O3" s="20" t="str">
        <x:v>平台指出消费者承认订阅且条款写明自动续订</x:v>
      </x:c>
      <x:c r="P3" s="20" t="str">
        <x:v>取消时间与续订扣款的先后无法由证据证明</x:v>
      </x:c>
      <x:c r="Q3" s="20" t="str">
        <x:v>FINAL_PUBLIC_DECISION</x:v>
      </x:c>
      <x:c r="R3" s="20" t="str">
        <x:v>NOT_RAISED</x:v>
      </x:c>
      <x:c r="S3" s="20" t="str">
        <x:v>COMPLAINT_NOT_UPHELD</x:v>
      </x:c>
      <x:c r="T3" s="20" t="str">
        <x:v>FOS_FINAL_DECISION</x:v>
      </x:c>
      <x:c r="U3" s="20" t="str">
        <x:v>真实结果：因缺取消证明未继续拒付；申诉专员认为成功前景很低</x:v>
      </x:c>
      <x:c r="V3" s="20" t="str">
        <x:v>产品应在取消提交时生成不可抵赖回执，并保留条款版本</x:v>
      </x:c>
      <x:c r="W3" s="20" t="str">
        <x:v>PUBLIC_DECISION</x:v>
      </x:c>
      <x:c r="X3" s="20" t="str">
        <x:v>CUSTOMER_SUPPORT</x:v>
      </x:c>
      <x:c r="Y3" s="20" t="str">
        <x:v>PUBLIC_CASE_NOT_IMPORTABLE</x:v>
      </x:c>
      <x:c r="Z3" s="20" t="str">
        <x:v>PARTIAL</x:v>
      </x:c>
      <x:c r="AA3" s="20" t="str">
        <x:v>产品应在取消提交时生成不可抵赖回执，并保留条款版本</x:v>
      </x:c>
      <x:c r="AB3" s="20" t="str">
        <x:v>产品应在取消提交时生成不可抵赖回执，并保留条款版本</x:v>
      </x:c>
      <x:c r="AC3" s="20" t="str">
        <x:v>SRC-DRN-5553620</x:v>
      </x:c>
      <x:c r="AD3" s="20" t="str">
        <x:v>公开最终决定事实摘要；不推断未披露字段</x:v>
      </x:c>
      <x:c r="AE3" s="20" t="str"/>
      <x:c r="AF3" s="20" t="str">
        <x:v>真实公开案例不进入CaseSampleRecord导入文件。</x:v>
      </x:c>
    </x:row>
    <x:row r="4" ht="66" customHeight="1">
      <x:c r="A4" s="20" t="str">
        <x:v>PUB-003</x:v>
      </x:c>
      <x:c r="B4" s="20" t="str">
        <x:v>定制商品多次承诺送达仍未交付</x:v>
      </x:c>
      <x:c r="C4" s="20" t="str">
        <x:v>PUBLIC_FINAL_DECISION</x:v>
      </x:c>
      <x:c r="D4" s="20" t="str">
        <x:v>A-PUBLIC-FINAL</x:v>
      </x:c>
      <x:c r="E4" s="21" t="b">
        <x:v>0</x:v>
      </x:c>
      <x:c r="F4" s="20" t="str">
        <x:v>家居零售</x:v>
      </x:c>
      <x:c r="G4" s="20" t="str">
        <x:v>实体商品</x:v>
      </x:c>
      <x:c r="H4" s="20" t="str">
        <x:v>英国</x:v>
      </x:c>
      <x:c r="I4" s="22" t="n">
        <x:v>2391.34</x:v>
      </x:c>
      <x:c r="J4" s="20" t="str">
        <x:v>GBP</x:v>
      </x:c>
      <x:c r="K4" s="20" t="str">
        <x:v>VISA</x:v>
      </x:c>
      <x:c r="L4" s="20" t="str">
        <x:v>NOT_DISCLOSED</x:v>
      </x:c>
      <x:c r="M4" s="20" t="str">
        <x:v>PRODUCT_NOT_RECEIVED</x:v>
      </x:c>
      <x:c r="N4" s="20" t="str">
        <x:v>消费者称商品从未送达且多次承诺日期落空</x:v>
      </x:c>
      <x:c r="O4" s="20" t="str">
        <x:v>商户以定制不可取消、已可安排配送为抗辩</x:v>
      </x:c>
      <x:c r="P4" s="20" t="str">
        <x:v>商户抗辩没有正面证明在约定日期送达</x:v>
      </x:c>
      <x:c r="Q4" s="20" t="str">
        <x:v>FINAL_PUBLIC_DECISION</x:v>
      </x:c>
      <x:c r="R4" s="20" t="str">
        <x:v>DISCONTINUED</x:v>
      </x:c>
      <x:c r="S4" s="20" t="str">
        <x:v>COMPLAINT_UPHELD</x:v>
      </x:c>
      <x:c r="T4" s="20" t="str">
        <x:v>FOS_FINAL_DECISION</x:v>
      </x:c>
      <x:c r="U4" s="20" t="str">
        <x:v>真实结果：银行停止争议；申诉专员认为应继续并判银行赔付及利息</x:v>
      </x:c>
      <x:c r="V4" s="20" t="str">
        <x:v>分类必须围绕未交付事实，定制/不可退不是未收到的直接反驳</x:v>
      </x:c>
      <x:c r="W4" s="20" t="str">
        <x:v>PUBLIC_DECISION</x:v>
      </x:c>
      <x:c r="X4" s="20" t="str">
        <x:v>CUSTOMER_SUPPORT</x:v>
      </x:c>
      <x:c r="Y4" s="20" t="str">
        <x:v>PUBLIC_CASE_NOT_IMPORTABLE</x:v>
      </x:c>
      <x:c r="Z4" s="20" t="str">
        <x:v>PARTIAL</x:v>
      </x:c>
      <x:c r="AA4" s="20" t="str">
        <x:v>分类必须围绕未交付事实，定制/不可退不是未收到的直接反驳</x:v>
      </x:c>
      <x:c r="AB4" s="20" t="str">
        <x:v>分类必须围绕未交付事实，定制/不可退不是未收到的直接反驳</x:v>
      </x:c>
      <x:c r="AC4" s="20" t="str">
        <x:v>SRC-DRN-4634402</x:v>
      </x:c>
      <x:c r="AD4" s="20" t="str">
        <x:v>公开最终决定事实摘要；不推断未披露字段</x:v>
      </x:c>
      <x:c r="AE4" s="20" t="str"/>
      <x:c r="AF4" s="20" t="str">
        <x:v>真实公开案例不进入CaseSampleRecord导入文件。</x:v>
      </x:c>
    </x:row>
    <x:row r="5" ht="66" customHeight="1">
      <x:c r="A5" s="20" t="str">
        <x:v>PUB-004</x:v>
      </x:c>
      <x:c r="B5" s="20" t="str">
        <x:v>错误理由码导致唯一机会浪费</x:v>
      </x:c>
      <x:c r="C5" s="20" t="str">
        <x:v>PUBLIC_FINAL_DECISION</x:v>
      </x:c>
      <x:c r="D5" s="20" t="str">
        <x:v>A-PUBLIC-FINAL</x:v>
      </x:c>
      <x:c r="E5" s="21" t="b">
        <x:v>0</x:v>
      </x:c>
      <x:c r="F5" s="20" t="str">
        <x:v>电商零售</x:v>
      </x:c>
      <x:c r="G5" s="20" t="str">
        <x:v>实体商品</x:v>
      </x:c>
      <x:c r="H5" s="20" t="str">
        <x:v>英国</x:v>
      </x:c>
      <x:c r="I5" s="22" t="n">
        <x:v>85.97</x:v>
      </x:c>
      <x:c r="J5" s="20" t="str">
        <x:v>GBP</x:v>
      </x:c>
      <x:c r="K5" s="20" t="str">
        <x:v>NOT_DISCLOSED</x:v>
      </x:c>
      <x:c r="L5" s="20" t="str">
        <x:v>REFUND_NOT_RECEIVED_USED_IN_ERROR</x:v>
      </x:c>
      <x:c r="M5" s="20" t="str">
        <x:v>PRODUCT_NOT_RECEIVED</x:v>
      </x:c>
      <x:c r="N5" s="20" t="str">
        <x:v>消费者未收到任何商品；商户邮件对是否收款/退款互相矛盾</x:v>
      </x:c>
      <x:c r="O5" s="20" t="str">
        <x:v>商户以未收到退货为由抗辩退款未到账</x:v>
      </x:c>
      <x:c r="P5" s="20" t="str">
        <x:v>实际事实是未收到商品，却选择退款未到账理由</x:v>
      </x:c>
      <x:c r="Q5" s="20" t="str">
        <x:v>FINAL_PUBLIC_DECISION</x:v>
      </x:c>
      <x:c r="R5" s="20" t="str">
        <x:v>MERCHANT_PREVAILED</x:v>
      </x:c>
      <x:c r="S5" s="20" t="str">
        <x:v>COMPLAINT_UPHELD</x:v>
      </x:c>
      <x:c r="T5" s="20" t="str">
        <x:v>FOS_FINAL_DECISION</x:v>
      </x:c>
      <x:c r="U5" s="20" t="str">
        <x:v>真实结果：错误理由码下拒付失败；申诉专员判银行退还款项并赔偿</x:v>
      </x:c>
      <x:c r="V5" s="20" t="str">
        <x:v>必须先问清商品是否收到、退款是否承诺，再锁定理由码</x:v>
      </x:c>
      <x:c r="W5" s="20" t="str">
        <x:v>WRONG_REASON_CODE</x:v>
      </x:c>
      <x:c r="X5" s="20" t="str">
        <x:v>CUSTOMER_SUPPORT</x:v>
      </x:c>
      <x:c r="Y5" s="20" t="str">
        <x:v>PUBLIC_CASE_NOT_IMPORTABLE</x:v>
      </x:c>
      <x:c r="Z5" s="20" t="str">
        <x:v>PARTIAL</x:v>
      </x:c>
      <x:c r="AA5" s="20" t="str">
        <x:v>必须先问清商品是否收到、退款是否承诺，再锁定理由码</x:v>
      </x:c>
      <x:c r="AB5" s="20" t="str">
        <x:v>必须先问清商品是否收到、退款是否承诺，再锁定理由码</x:v>
      </x:c>
      <x:c r="AC5" s="20" t="str">
        <x:v>SRC-DRN-3125371</x:v>
      </x:c>
      <x:c r="AD5" s="20" t="str">
        <x:v>公开最终决定事实摘要；不推断未披露字段</x:v>
      </x:c>
      <x:c r="AE5" s="20" t="str"/>
      <x:c r="AF5" s="20" t="str">
        <x:v>真实公开案例不进入CaseSampleRecord导入文件。</x:v>
      </x:c>
    </x:row>
    <x:row r="6" ht="66" customHeight="1">
      <x:c r="A6" s="20" t="str">
        <x:v>PUB-005</x:v>
      </x:c>
      <x:c r="B6" s="20" t="str">
        <x:v>商品不符但已丢弃无法退回</x:v>
      </x:c>
      <x:c r="C6" s="20" t="str">
        <x:v>PUBLIC_FINAL_DECISION</x:v>
      </x:c>
      <x:c r="D6" s="20" t="str">
        <x:v>A-PUBLIC-FINAL</x:v>
      </x:c>
      <x:c r="E6" s="21" t="b">
        <x:v>0</x:v>
      </x:c>
      <x:c r="F6" s="20" t="str">
        <x:v>珠宝零售</x:v>
      </x:c>
      <x:c r="G6" s="20" t="str">
        <x:v>实体商品</x:v>
      </x:c>
      <x:c r="H6" s="20" t="str">
        <x:v>英国</x:v>
      </x:c>
      <x:c r="I6" s="22" t="n">
        <x:v>25</x:v>
      </x:c>
      <x:c r="J6" s="20" t="str">
        <x:v>GBP</x:v>
      </x:c>
      <x:c r="K6" s="20" t="str">
        <x:v>MASTERCARD</x:v>
      </x:c>
      <x:c r="L6" s="20" t="str">
        <x:v>NOT_DISCLOSED</x:v>
      </x:c>
      <x:c r="M6" s="20" t="str">
        <x:v>PRODUCT_NOT_AS_DESCRIBED</x:v>
      </x:c>
      <x:c r="N6" s="20" t="str">
        <x:v>消费者称收到的图案与下单不符，但因不适已处置商品</x:v>
      </x:c>
      <x:c r="O6" s="20" t="str">
        <x:v>商户先以已送达反驳未收到；后续商品已无法退回</x:v>
      </x:c>
      <x:c r="P6" s="20" t="str">
        <x:v>不符主张可能成立，但商品不再可供退回</x:v>
      </x:c>
      <x:c r="Q6" s="20" t="str">
        <x:v>FINAL_PUBLIC_DECISION</x:v>
      </x:c>
      <x:c r="R6" s="20" t="str">
        <x:v>NOT_PURSUED</x:v>
      </x:c>
      <x:c r="S6" s="20" t="str">
        <x:v>COMPLAINT_NOT_UPHELD</x:v>
      </x:c>
      <x:c r="T6" s="20" t="str">
        <x:v>FOS_FINAL_DECISION</x:v>
      </x:c>
      <x:c r="U6" s="20" t="str">
        <x:v>真实结果：未收到理由失败；不符理由因无法退货未继续</x:v>
      </x:c>
      <x:c r="V6" s="20" t="str">
        <x:v>补问是否仍持有商品、是否已提出退货以及商户是否拒绝接收</x:v>
      </x:c>
      <x:c r="W6" s="20" t="str">
        <x:v>PUBLIC_DECISION</x:v>
      </x:c>
      <x:c r="X6" s="20" t="str">
        <x:v>BUSINESS</x:v>
      </x:c>
      <x:c r="Y6" s="20" t="str">
        <x:v>PUBLIC_CASE_NOT_IMPORTABLE</x:v>
      </x:c>
      <x:c r="Z6" s="20" t="str">
        <x:v>PARTIAL</x:v>
      </x:c>
      <x:c r="AA6" s="20" t="str">
        <x:v>补问是否仍持有商品、是否已提出退货以及商户是否拒绝接收</x:v>
      </x:c>
      <x:c r="AB6" s="20" t="str">
        <x:v>补问是否仍持有商品、是否已提出退货以及商户是否拒绝接收</x:v>
      </x:c>
      <x:c r="AC6" s="20" t="str">
        <x:v>SRC-DRN-5947106</x:v>
      </x:c>
      <x:c r="AD6" s="20" t="str">
        <x:v>公开最终决定事实摘要；不推断未披露字段</x:v>
      </x:c>
      <x:c r="AE6" s="20" t="str"/>
      <x:c r="AF6" s="20" t="str">
        <x:v>真实公开案例不进入CaseSampleRecord导入文件。</x:v>
      </x:c>
    </x:row>
    <x:row r="7" ht="66" customHeight="1">
      <x:c r="A7" s="20" t="str">
        <x:v>PUB-006</x:v>
      </x:c>
      <x:c r="B7" s="20" t="str">
        <x:v>咨询服务有合同与履行记录</x:v>
      </x:c>
      <x:c r="C7" s="20" t="str">
        <x:v>PUBLIC_FINAL_DECISION</x:v>
      </x:c>
      <x:c r="D7" s="20" t="str">
        <x:v>A-PUBLIC-FINAL</x:v>
      </x:c>
      <x:c r="E7" s="21" t="b">
        <x:v>0</x:v>
      </x:c>
      <x:c r="F7" s="20" t="str">
        <x:v>咨询服务</x:v>
      </x:c>
      <x:c r="G7" s="20" t="str">
        <x:v>专业服务</x:v>
      </x:c>
      <x:c r="H7" s="20" t="str">
        <x:v>英国</x:v>
      </x:c>
      <x:c r="I7" s="22" t="n">
        <x:v>1199</x:v>
      </x:c>
      <x:c r="J7" s="20" t="str">
        <x:v>GBP</x:v>
      </x:c>
      <x:c r="K7" s="20" t="str">
        <x:v>NOT_DISCLOSED</x:v>
      </x:c>
      <x:c r="L7" s="20" t="str">
        <x:v>NOT_DISCLOSED</x:v>
      </x:c>
      <x:c r="M7" s="20" t="str">
        <x:v>PRODUCT_NOT_RECEIVED</x:v>
      </x:c>
      <x:c r="N7" s="20" t="str">
        <x:v>消费者称未按约提供服务并认为被骗</x:v>
      </x:c>
      <x:c r="O7" s="20" t="str">
        <x:v>商户提交长篇咨询服务履行证据，案件进入预仲裁</x:v>
      </x:c>
      <x:c r="P7" s="20" t="str">
        <x:v>签署合同、沟通及交付记录共同证明服务已提供</x:v>
      </x:c>
      <x:c r="Q7" s="20" t="str">
        <x:v>FINAL_PUBLIC_DECISION</x:v>
      </x:c>
      <x:c r="R7" s="20" t="str">
        <x:v>MERCHANT_PREVAILED</x:v>
      </x:c>
      <x:c r="S7" s="20" t="str">
        <x:v>COMPLAINT_NOT_UPHELD</x:v>
      </x:c>
      <x:c r="T7" s="20" t="str">
        <x:v>FOS_FINAL_DECISION</x:v>
      </x:c>
      <x:c r="U7" s="20" t="str">
        <x:v>真实结果：预仲裁后拒付仍失败，临时退款收回</x:v>
      </x:c>
      <x:c r="V7" s="20" t="str">
        <x:v>服务类不能只交合同，还要建立交付物与客户使用/沟通时间线</x:v>
      </x:c>
      <x:c r="W7" s="20" t="str">
        <x:v>PUBLIC_DECISION</x:v>
      </x:c>
      <x:c r="X7" s="20" t="str">
        <x:v>CUSTOMER_SUPPORT</x:v>
      </x:c>
      <x:c r="Y7" s="20" t="str">
        <x:v>PUBLIC_CASE_NOT_IMPORTABLE</x:v>
      </x:c>
      <x:c r="Z7" s="20" t="str">
        <x:v>PARTIAL</x:v>
      </x:c>
      <x:c r="AA7" s="20" t="str">
        <x:v>服务类不能只交合同，还要建立交付物与客户使用/沟通时间线</x:v>
      </x:c>
      <x:c r="AB7" s="20" t="str">
        <x:v>服务类不能只交合同，还要建立交付物与客户使用/沟通时间线</x:v>
      </x:c>
      <x:c r="AC7" s="20" t="str">
        <x:v>SRC-DRN-5250346</x:v>
      </x:c>
      <x:c r="AD7" s="20" t="str">
        <x:v>公开最终决定事实摘要；不推断未披露字段</x:v>
      </x:c>
      <x:c r="AE7" s="20" t="str"/>
      <x:c r="AF7" s="20" t="str">
        <x:v>真实公开案例不进入CaseSampleRecord导入文件。</x:v>
      </x:c>
    </x:row>
    <x:row r="8" ht="66" customHeight="1">
      <x:c r="A8" s="20" t="str">
        <x:v>PUB-007</x:v>
      </x:c>
      <x:c r="B8" s="20" t="str">
        <x:v>假酒店网站把款转给真实汇款服务</x:v>
      </x:c>
      <x:c r="C8" s="20" t="str">
        <x:v>PUBLIC_FINAL_DECISION</x:v>
      </x:c>
      <x:c r="D8" s="20" t="str">
        <x:v>A-PUBLIC-FINAL</x:v>
      </x:c>
      <x:c r="E8" s="21" t="b">
        <x:v>0</x:v>
      </x:c>
      <x:c r="F8" s="20" t="str">
        <x:v>旅游诈骗</x:v>
      </x:c>
      <x:c r="G8" s="20" t="str">
        <x:v>资金转移服务</x:v>
      </x:c>
      <x:c r="H8" s="20" t="str">
        <x:v>英国</x:v>
      </x:c>
      <x:c r="I8" s="22" t="n">
        <x:v>596</x:v>
      </x:c>
      <x:c r="J8" s="20" t="str">
        <x:v>GBP</x:v>
      </x:c>
      <x:c r="K8" s="20" t="str">
        <x:v>NOT_DISCLOSED</x:v>
      </x:c>
      <x:c r="L8" s="20" t="str">
        <x:v>NOT_DISCLOSED</x:v>
      </x:c>
      <x:c r="M8" s="20" t="str">
        <x:v>PRODUCT_NOT_RECEIVED</x:v>
      </x:c>
      <x:c r="N8" s="20" t="str">
        <x:v>消费者以为预订酒店，实际向汇款服务支付且酒店无预订</x:v>
      </x:c>
      <x:c r="O8" s="20" t="str">
        <x:v>收款商户证明其受托的资金转移服务已完成</x:v>
      </x:c>
      <x:c r="P8" s="20" t="str">
        <x:v>底层骗局存在，但被争议商户已完成其合同服务</x:v>
      </x:c>
      <x:c r="Q8" s="20" t="str">
        <x:v>FINAL_PUBLIC_DECISION</x:v>
      </x:c>
      <x:c r="R8" s="20" t="str">
        <x:v>MERCHANT_PREVAILED</x:v>
      </x:c>
      <x:c r="S8" s="20" t="str">
        <x:v>COMPLAINT_NOT_UPHELD</x:v>
      </x:c>
      <x:c r="T8" s="20" t="str">
        <x:v>FOS_FINAL_DECISION</x:v>
      </x:c>
      <x:c r="U8" s="20" t="str">
        <x:v>真实结果：汇款服务成功抗辩；申诉专员不要求银行赔付</x:v>
      </x:c>
      <x:c r="V8" s="20" t="str">
        <x:v>区分消费者想买的东西、账单商户和实际被争议服务</x:v>
      </x:c>
      <x:c r="W8" s="20" t="str">
        <x:v>PUBLIC_DECISION</x:v>
      </x:c>
      <x:c r="X8" s="20" t="str">
        <x:v>CUSTOMER_SUPPORT</x:v>
      </x:c>
      <x:c r="Y8" s="20" t="str">
        <x:v>PUBLIC_CASE_NOT_IMPORTABLE</x:v>
      </x:c>
      <x:c r="Z8" s="20" t="str">
        <x:v>PARTIAL</x:v>
      </x:c>
      <x:c r="AA8" s="20" t="str">
        <x:v>区分消费者想买的东西、账单商户和实际被争议服务</x:v>
      </x:c>
      <x:c r="AB8" s="20" t="str">
        <x:v>区分消费者想买的东西、账单商户和实际被争议服务</x:v>
      </x:c>
      <x:c r="AC8" s="20" t="str">
        <x:v>SRC-DRN-4400167</x:v>
      </x:c>
      <x:c r="AD8" s="20" t="str">
        <x:v>公开最终决定事实摘要；不推断未披露字段</x:v>
      </x:c>
      <x:c r="AE8" s="20" t="str"/>
      <x:c r="AF8" s="20" t="str">
        <x:v>真实公开案例不进入CaseSampleRecord导入文件。</x:v>
      </x:c>
    </x:row>
    <x:row r="9" ht="66" customHeight="1">
      <x:c r="A9" s="20" t="str">
        <x:v>PUB-008</x:v>
      </x:c>
      <x:c r="B9" s="20" t="str">
        <x:v>假机票骗局中的汇款服务已履约</x:v>
      </x:c>
      <x:c r="C9" s="20" t="str">
        <x:v>PUBLIC_FINAL_DECISION</x:v>
      </x:c>
      <x:c r="D9" s="20" t="str">
        <x:v>A-PUBLIC-FINAL</x:v>
      </x:c>
      <x:c r="E9" s="21" t="b">
        <x:v>0</x:v>
      </x:c>
      <x:c r="F9" s="20" t="str">
        <x:v>旅游诈骗</x:v>
      </x:c>
      <x:c r="G9" s="20" t="str">
        <x:v>资金转移服务</x:v>
      </x:c>
      <x:c r="H9" s="20" t="str">
        <x:v>英国</x:v>
      </x:c>
      <x:c r="I9" s="22" t="n">
        <x:v>99</x:v>
      </x:c>
      <x:c r="J9" s="20" t="str">
        <x:v>GBP</x:v>
      </x:c>
      <x:c r="K9" s="20" t="str">
        <x:v>NOT_DISCLOSED</x:v>
      </x:c>
      <x:c r="L9" s="20" t="str">
        <x:v>NOT_DISCLOSED</x:v>
      </x:c>
      <x:c r="M9" s="20" t="str">
        <x:v>PRODUCT_NOT_RECEIVED</x:v>
      </x:c>
      <x:c r="N9" s="20" t="str">
        <x:v>消费者以为向旅行社付机票定金，实际通过汇款服务转账</x:v>
      </x:c>
      <x:c r="O9" s="20" t="str">
        <x:v>汇款服务证明已按指令完成转移</x:v>
      </x:c>
      <x:c r="P9" s="20" t="str">
        <x:v>机票未获得不代表汇款服务未提供</x:v>
      </x:c>
      <x:c r="Q9" s="20" t="str">
        <x:v>FINAL_PUBLIC_DECISION</x:v>
      </x:c>
      <x:c r="R9" s="20" t="str">
        <x:v>MERCHANT_PREVAILED</x:v>
      </x:c>
      <x:c r="S9" s="20" t="str">
        <x:v>COMPLAINT_NOT_UPHELD</x:v>
      </x:c>
      <x:c r="T9" s="20" t="str">
        <x:v>FOS_FINAL_DECISION</x:v>
      </x:c>
      <x:c r="U9" s="20" t="str">
        <x:v>真实结果：卡交易拒付失败；另有银行转账追索也未追回</x:v>
      </x:c>
      <x:c r="V9" s="20" t="str">
        <x:v>建案时识别资金流中哪个主体是商户，避免把诈骗损失误映射为未履约</x:v>
      </x:c>
      <x:c r="W9" s="20" t="str">
        <x:v>PUBLIC_DECISION</x:v>
      </x:c>
      <x:c r="X9" s="20" t="str">
        <x:v>CUSTOMER_SUPPORT</x:v>
      </x:c>
      <x:c r="Y9" s="20" t="str">
        <x:v>PUBLIC_CASE_NOT_IMPORTABLE</x:v>
      </x:c>
      <x:c r="Z9" s="20" t="str">
        <x:v>PARTIAL</x:v>
      </x:c>
      <x:c r="AA9" s="20" t="str">
        <x:v>建案时识别资金流中哪个主体是商户，避免把诈骗损失误映射为未履约</x:v>
      </x:c>
      <x:c r="AB9" s="20" t="str">
        <x:v>建案时识别资金流中哪个主体是商户，避免把诈骗损失误映射为未履约</x:v>
      </x:c>
      <x:c r="AC9" s="20" t="str">
        <x:v>SRC-DRN-3728445</x:v>
      </x:c>
      <x:c r="AD9" s="20" t="str">
        <x:v>公开最终决定事实摘要；不推断未披露字段</x:v>
      </x:c>
      <x:c r="AE9" s="20" t="str"/>
      <x:c r="AF9" s="20" t="str">
        <x:v>真实公开案例不进入CaseSampleRecord导入文件。</x:v>
      </x:c>
    </x:row>
    <x:row r="10" ht="66" customHeight="1">
      <x:c r="A10" s="20" t="str">
        <x:v>PUB-009</x:v>
      </x:c>
      <x:c r="B10" s="20" t="str">
        <x:v>现金与刷卡定金退款归属不清</x:v>
      </x:c>
      <x:c r="C10" s="20" t="str">
        <x:v>PUBLIC_FINAL_DECISION</x:v>
      </x:c>
      <x:c r="D10" s="20" t="str">
        <x:v>A-PUBLIC-FINAL</x:v>
      </x:c>
      <x:c r="E10" s="21" t="b">
        <x:v>0</x:v>
      </x:c>
      <x:c r="F10" s="20" t="str">
        <x:v>汽车销售</x:v>
      </x:c>
      <x:c r="G10" s="20" t="str">
        <x:v>定金</x:v>
      </x:c>
      <x:c r="H10" s="20" t="str">
        <x:v>英国</x:v>
      </x:c>
      <x:c r="I10" s="22" t="n">
        <x:v>500</x:v>
      </x:c>
      <x:c r="J10" s="20" t="str">
        <x:v>GBP</x:v>
      </x:c>
      <x:c r="K10" s="20" t="str">
        <x:v>NOT_DISCLOSED</x:v>
      </x:c>
      <x:c r="L10" s="20" t="str">
        <x:v>NOT_DISCLOSED</x:v>
      </x:c>
      <x:c r="M10" s="20" t="str">
        <x:v>CREDIT_NOT_PROCESSED</x:v>
      </x:c>
      <x:c r="N10" s="20" t="str">
        <x:v>消费者称现金部分已退、刷卡部分未退</x:v>
      </x:c>
      <x:c r="O10" s="20" t="str">
        <x:v>商户证明仅有一笔£500卡定金，且已向银行账户退款£500</x:v>
      </x:c>
      <x:c r="P10" s="20" t="str">
        <x:v>双方对退款对应哪种支付方式存在矛盾，消费者无反证</x:v>
      </x:c>
      <x:c r="Q10" s="20" t="str">
        <x:v>FINAL_PUBLIC_DECISION</x:v>
      </x:c>
      <x:c r="R10" s="20" t="str">
        <x:v>MERCHANT_PREVAILED</x:v>
      </x:c>
      <x:c r="S10" s="20" t="str">
        <x:v>COMPLAINT_NOT_UPHELD</x:v>
      </x:c>
      <x:c r="T10" s="20" t="str">
        <x:v>FOS_FINAL_DECISION</x:v>
      </x:c>
      <x:c r="U10" s="20" t="str">
        <x:v>真实结果：商户抗辩后临时贷记被收回</x:v>
      </x:c>
      <x:c r="V10" s="20" t="str">
        <x:v>混合支付必须逐笔关联支付介质、退款去向和金额，防止重复赔付</x:v>
      </x:c>
      <x:c r="W10" s="20" t="str">
        <x:v>PUBLIC_DECISION</x:v>
      </x:c>
      <x:c r="X10" s="20" t="str">
        <x:v>FINANCE</x:v>
      </x:c>
      <x:c r="Y10" s="20" t="str">
        <x:v>PUBLIC_CASE_NOT_IMPORTABLE</x:v>
      </x:c>
      <x:c r="Z10" s="20" t="str">
        <x:v>PARTIAL</x:v>
      </x:c>
      <x:c r="AA10" s="20" t="str">
        <x:v>混合支付必须逐笔关联支付介质、退款去向和金额，防止重复赔付</x:v>
      </x:c>
      <x:c r="AB10" s="20" t="str">
        <x:v>混合支付必须逐笔关联支付介质、退款去向和金额，防止重复赔付</x:v>
      </x:c>
      <x:c r="AC10" s="20" t="str">
        <x:v>SRC-DRN6563116</x:v>
      </x:c>
      <x:c r="AD10" s="20" t="str">
        <x:v>公开最终决定事实摘要；不推断未披露字段</x:v>
      </x:c>
      <x:c r="AE10" s="20" t="str"/>
      <x:c r="AF10" s="20" t="str">
        <x:v>真实公开案例不进入CaseSampleRecord导入文件。</x:v>
      </x:c>
    </x:row>
    <x:row r="11" ht="66" customHeight="1">
      <x:c r="A11" s="20" t="str">
        <x:v>PUB-010</x:v>
      </x:c>
      <x:c r="B11" s="20" t="str">
        <x:v>客人取消不可退酒店而酒店仍营业</x:v>
      </x:c>
      <x:c r="C11" s="20" t="str">
        <x:v>PUBLIC_FINAL_DECISION</x:v>
      </x:c>
      <x:c r="D11" s="20" t="str">
        <x:v>A-PUBLIC-FINAL</x:v>
      </x:c>
      <x:c r="E11" s="21" t="b">
        <x:v>0</x:v>
      </x:c>
      <x:c r="F11" s="20" t="str">
        <x:v>酒店旅游</x:v>
      </x:c>
      <x:c r="G11" s="20" t="str">
        <x:v>住宿服务</x:v>
      </x:c>
      <x:c r="H11" s="20" t="str">
        <x:v>英国</x:v>
      </x:c>
      <x:c r="I11" s="22" t="n">
        <x:v>318.6</x:v>
      </x:c>
      <x:c r="J11" s="20" t="str">
        <x:v>GBP</x:v>
      </x:c>
      <x:c r="K11" s="20" t="str">
        <x:v>NOT_DISCLOSED</x:v>
      </x:c>
      <x:c r="L11" s="20" t="str">
        <x:v>NOT_DISCLOSED</x:v>
      </x:c>
      <x:c r="M11" s="20" t="str">
        <x:v>PRODUCT_NOT_RECEIVED</x:v>
      </x:c>
      <x:c r="N11" s="20" t="str">
        <x:v>消费者因疫情与航班取消主动取消酒店</x:v>
      </x:c>
      <x:c r="O11" s="20" t="str">
        <x:v>商户证明预订不可退且入住期间酒店可提供服务</x:v>
      </x:c>
      <x:c r="P11" s="20" t="str">
        <x:v>是客人不能使用，而非商户取消或无法提供</x:v>
      </x:c>
      <x:c r="Q11" s="20" t="str">
        <x:v>FINAL_PUBLIC_DECISION</x:v>
      </x:c>
      <x:c r="R11" s="20" t="str">
        <x:v>MERCHANT_PREVAILED</x:v>
      </x:c>
      <x:c r="S11" s="20" t="str">
        <x:v>COMPLAINT_NOT_UPHELD</x:v>
      </x:c>
      <x:c r="T11" s="20" t="str">
        <x:v>FOS_FINAL_DECISION</x:v>
      </x:c>
      <x:c r="U11" s="20" t="str">
        <x:v>真实结果：商户抗辩成功，临时贷记收回</x:v>
      </x:c>
      <x:c r="V11" s="20" t="str">
        <x:v>把商户取消、政府关闭、消费者取消分成不同事实路径</x:v>
      </x:c>
      <x:c r="W11" s="20" t="str">
        <x:v>PUBLIC_DECISION</x:v>
      </x:c>
      <x:c r="X11" s="20" t="str">
        <x:v>CUSTOMER_SUPPORT</x:v>
      </x:c>
      <x:c r="Y11" s="20" t="str">
        <x:v>PUBLIC_CASE_NOT_IMPORTABLE</x:v>
      </x:c>
      <x:c r="Z11" s="20" t="str">
        <x:v>PARTIAL</x:v>
      </x:c>
      <x:c r="AA11" s="20" t="str">
        <x:v>把商户取消、政府关闭、消费者取消分成不同事实路径</x:v>
      </x:c>
      <x:c r="AB11" s="20" t="str">
        <x:v>把商户取消、政府关闭、消费者取消分成不同事实路径</x:v>
      </x:c>
      <x:c r="AC11" s="20" t="str">
        <x:v>SRC-DRN-3004919</x:v>
      </x:c>
      <x:c r="AD11" s="20" t="str">
        <x:v>公开最终决定事实摘要；不推断未披露字段</x:v>
      </x:c>
      <x:c r="AE11" s="20" t="str"/>
      <x:c r="AF11" s="20" t="str">
        <x:v>真实公开案例不进入CaseSampleRecord导入文件。</x:v>
      </x:c>
    </x:row>
    <x:row r="12" ht="66" customHeight="1">
      <x:c r="A12" s="20" t="str">
        <x:v>PUB-011</x:v>
      </x:c>
      <x:c r="B12" s="20" t="str">
        <x:v>车辆质量争议因补证逾期与格式失败</x:v>
      </x:c>
      <x:c r="C12" s="20" t="str">
        <x:v>PUBLIC_FINAL_DECISION</x:v>
      </x:c>
      <x:c r="D12" s="20" t="str">
        <x:v>A-PUBLIC-FINAL</x:v>
      </x:c>
      <x:c r="E12" s="21" t="b">
        <x:v>0</x:v>
      </x:c>
      <x:c r="F12" s="20" t="str">
        <x:v>汽车销售</x:v>
      </x:c>
      <x:c r="G12" s="20" t="str">
        <x:v>二手车</x:v>
      </x:c>
      <x:c r="H12" s="20" t="str">
        <x:v>英国</x:v>
      </x:c>
      <x:c r="I12" s="22" t="n">
        <x:v>2190</x:v>
      </x:c>
      <x:c r="J12" s="20" t="str">
        <x:v>GBP</x:v>
      </x:c>
      <x:c r="K12" s="20" t="str">
        <x:v>NOT_DISCLOSED</x:v>
      </x:c>
      <x:c r="L12" s="20" t="str">
        <x:v>NOT_DISCLOSED</x:v>
      </x:c>
      <x:c r="M12" s="20" t="str">
        <x:v>PRODUCT_NOT_AS_DESCRIBED</x:v>
      </x:c>
      <x:c r="N12" s="20" t="str">
        <x:v>消费者称车辆存在试驾时未知问题并尝试退车</x:v>
      </x:c>
      <x:c r="O12" s="20" t="str">
        <x:v>商户成功抗辩；消费者未在10天内补齐材料，通话录音格式未被接受</x:v>
      </x:c>
      <x:c r="P12" s="20" t="str">
        <x:v>时限和文件格式使可能相关的证据无法进入审理</x:v>
      </x:c>
      <x:c r="Q12" s="20" t="str">
        <x:v>FINAL_PUBLIC_DECISION</x:v>
      </x:c>
      <x:c r="R12" s="20" t="str">
        <x:v>MERCHANT_PREVAILED</x:v>
      </x:c>
      <x:c r="S12" s="20" t="str">
        <x:v>COMPLAINT_NOT_UPHELD</x:v>
      </x:c>
      <x:c r="T12" s="20" t="str">
        <x:v>FOS_FINAL_DECISION</x:v>
      </x:c>
      <x:c r="U12" s="20" t="str">
        <x:v>真实结果：拒付失败，申诉专员认为银行处理合理</x:v>
      </x:c>
      <x:c r="V12" s="20" t="str">
        <x:v>系统应在收件时检查格式、页数、可读性与截止时间，而非提交时才发现</x:v>
      </x:c>
      <x:c r="W12" s="20" t="str">
        <x:v>PUBLIC_DECISION</x:v>
      </x:c>
      <x:c r="X12" s="20" t="str">
        <x:v>BUSINESS</x:v>
      </x:c>
      <x:c r="Y12" s="20" t="str">
        <x:v>PUBLIC_CASE_NOT_IMPORTABLE</x:v>
      </x:c>
      <x:c r="Z12" s="20" t="str">
        <x:v>PARTIAL</x:v>
      </x:c>
      <x:c r="AA12" s="20" t="str">
        <x:v>系统应在收件时检查格式、页数、可读性与截止时间，而非提交时才发现</x:v>
      </x:c>
      <x:c r="AB12" s="20" t="str">
        <x:v>系统应在收件时检查格式、页数、可读性与截止时间，而非提交时才发现</x:v>
      </x:c>
      <x:c r="AC12" s="20" t="str">
        <x:v>SRC-DRN-3058378</x:v>
      </x:c>
      <x:c r="AD12" s="20" t="str">
        <x:v>公开最终决定事实摘要；不推断未披露字段</x:v>
      </x:c>
      <x:c r="AE12" s="20" t="str"/>
      <x:c r="AF12" s="20" t="str">
        <x:v>真实公开案例不进入CaseSampleRecord导入文件。</x:v>
      </x:c>
    </x:row>
    <x:row r="13" ht="66" customHeight="1">
      <x:c r="A13" s="20" t="str">
        <x:v>PUB-012</x:v>
      </x:c>
      <x:c r="B13" s="20" t="str">
        <x:v>旅行商倒闭、承接方与保险责任混乱</x:v>
      </x:c>
      <x:c r="C13" s="20" t="str">
        <x:v>PUBLIC_FINAL_DECISION</x:v>
      </x:c>
      <x:c r="D13" s="20" t="str">
        <x:v>A-PUBLIC-FINAL</x:v>
      </x:c>
      <x:c r="E13" s="21" t="b">
        <x:v>0</x:v>
      </x:c>
      <x:c r="F13" s="20" t="str">
        <x:v>邮轮旅游</x:v>
      </x:c>
      <x:c r="G13" s="20" t="str">
        <x:v>旅行服务</x:v>
      </x:c>
      <x:c r="H13" s="20" t="str">
        <x:v>英国</x:v>
      </x:c>
      <x:c r="I13" s="22" t="n">
        <x:v>350</x:v>
      </x:c>
      <x:c r="J13" s="20" t="str">
        <x:v>GBP</x:v>
      </x:c>
      <x:c r="K13" s="20" t="str">
        <x:v>NOT_DISCLOSED</x:v>
      </x:c>
      <x:c r="L13" s="20" t="str">
        <x:v>NOT_DISCLOSED</x:v>
      </x:c>
      <x:c r="M13" s="20" t="str">
        <x:v>PRODUCT_NOT_RECEIVED</x:v>
      </x:c>
      <x:c r="N13" s="20" t="str">
        <x:v>消费者为邮轮付定金，原商户倒闭后被要求向新公司再次支付全价</x:v>
      </x:c>
      <x:c r="O13" s="20" t="str">
        <x:v>抗辩材料涉及承接方、电子货币账户、保险与ATOL，且责任主体混乱</x:v>
      </x:c>
      <x:c r="P13" s="20" t="str">
        <x:v>正确商户、服务是否承接、应由保险还是拒付承担需要逐层核验</x:v>
      </x:c>
      <x:c r="Q13" s="20" t="str">
        <x:v>FINAL_PUBLIC_DECISION</x:v>
      </x:c>
      <x:c r="R13" s="20" t="str">
        <x:v>MERCHANT_PREVAILED</x:v>
      </x:c>
      <x:c r="S13" s="20" t="str">
        <x:v>COMPLAINT_UPHELD</x:v>
      </x:c>
      <x:c r="T13" s="20" t="str">
        <x:v>FOS_FINAL_DECISION</x:v>
      </x:c>
      <x:c r="U13" s="20" t="str">
        <x:v>真实结果：拒付未成功；申诉专员支持消费者并要求银行赔付及补偿</x:v>
      </x:c>
      <x:c r="V13" s="20" t="str">
        <x:v>建立主体关系图和付款受益人校验，复杂案件强制人工复核</x:v>
      </x:c>
      <x:c r="W13" s="20" t="str">
        <x:v>PUBLIC_DECISION</x:v>
      </x:c>
      <x:c r="X13" s="20" t="str">
        <x:v>CUSTOMER_SUPPORT</x:v>
      </x:c>
      <x:c r="Y13" s="20" t="str">
        <x:v>PUBLIC_CASE_NOT_IMPORTABLE</x:v>
      </x:c>
      <x:c r="Z13" s="20" t="str">
        <x:v>PARTIAL</x:v>
      </x:c>
      <x:c r="AA13" s="20" t="str">
        <x:v>建立主体关系图和付款受益人校验，复杂案件强制人工复核</x:v>
      </x:c>
      <x:c r="AB13" s="20" t="str">
        <x:v>建立主体关系图和付款受益人校验，复杂案件强制人工复核</x:v>
      </x:c>
      <x:c r="AC13" s="20" t="str">
        <x:v>SRC-DRN-4403335</x:v>
      </x:c>
      <x:c r="AD13" s="20" t="str">
        <x:v>公开最终决定事实摘要；不推断未披露字段</x:v>
      </x:c>
      <x:c r="AE13" s="20" t="str"/>
      <x:c r="AF13" s="20" t="str">
        <x:v>真实公开案例不进入CaseSampleRecord导入文件。</x:v>
      </x:c>
    </x:row>
    <x:row r="14" ht="66" customHeight="1">
      <x:c r="A14" s="20" t="str">
        <x:v>SYN-001</x:v>
      </x:c>
      <x:c r="B14" s="20" t="str">
        <x:v>数字道具已消费后称未授权</x:v>
      </x:c>
      <x:c r="C14" s="20" t="str">
        <x:v>RULE_DERIVED_SYNTHETIC</x:v>
      </x:c>
      <x:c r="D14" s="20" t="str">
        <x:v>C-RULE-DERIVED</x:v>
      </x:c>
      <x:c r="E14" s="21" t="b">
        <x:v>1</x:v>
      </x:c>
      <x:c r="F14" s="20" t="str">
        <x:v>游戏</x:v>
      </x:c>
      <x:c r="G14" s="20" t="str">
        <x:v>数字商品</x:v>
      </x:c>
      <x:c r="H14" s="20" t="str">
        <x:v>GLOBAL-SYNTHETIC</x:v>
      </x:c>
      <x:c r="I14" s="22" t="str"/>
      <x:c r="J14" s="20" t="str">
        <x:v>NOT_DISCLOSED</x:v>
      </x:c>
      <x:c r="K14" s="20" t="str">
        <x:v>NOT_DISCLOSED</x:v>
      </x:c>
      <x:c r="L14" s="20" t="str">
        <x:v>SYNTHETIC</x:v>
      </x:c>
      <x:c r="M14" s="20" t="str">
        <x:v>FRAUD_CARD_NOT_PRESENT</x:v>
      </x:c>
      <x:c r="N14" s="20" t="str">
        <x:v>玩家购买后24小时内消耗道具，随后否认交易</x:v>
      </x:c>
      <x:c r="O14" s="20" t="str">
        <x:v>商户按FRAUD_CARD_NOT_PRESENT准备已有证据并等待人工决定</x:v>
      </x:c>
      <x:c r="P14" s="20" t="str">
        <x:v>玩家购买后24小时内消耗道具，随后否认交易</x:v>
      </x:c>
      <x:c r="Q14" s="20" t="str">
        <x:v>SIMULATED_REVIEW</x:v>
      </x:c>
      <x:c r="R14" s="20" t="str">
        <x:v>EXPECTED_WON</x:v>
      </x:c>
      <x:c r="S14" s="20" t="str">
        <x:v>NOT_APPLICABLE</x:v>
      </x:c>
      <x:c r="T14" s="20" t="str">
        <x:v>SIMULATED_EXPECTATION</x:v>
      </x:c>
      <x:c r="U14" s="20" t="str">
        <x:v>模拟预期：EXPECTED_WON。3DS、账号登录和消耗日志形成同一时间线；人工核验账号是否被盗</x:v>
      </x:c>
      <x:c r="V14" s="20" t="str">
        <x:v>3DS、账号登录和消耗日志形成同一时间线；人工核验账号是否被盗</x:v>
      </x:c>
      <x:c r="W14" s="20" t="str">
        <x:v>DIGITAL_GOODS_CONSUMED</x:v>
      </x:c>
      <x:c r="X14" s="20" t="str">
        <x:v>RISK</x:v>
      </x:c>
      <x:c r="Y14" s="20" t="str">
        <x:v>POLICY_REVIEW</x:v>
      </x:c>
      <x:c r="Z14" s="20" t="str">
        <x:v>PARTIAL</x:v>
      </x:c>
      <x:c r="AA14" s="20" t="str">
        <x:v>3DS、账号登录和消耗日志形成同一时间线；人工核验账号是否被盗</x:v>
      </x:c>
      <x:c r="AB14" s="20" t="str">
        <x:v>3DS、账号登录和消耗日志形成同一时间线；人工核验账号是否被盗</x:v>
      </x:c>
      <x:c r="AC14" s="20" t="str">
        <x:v>SRC-VISA-CE3</x:v>
      </x:c>
      <x:c r="AD14" s="20" t="str">
        <x:v>依据官方流程/证据原则构造；不是Oceanpayment真实规则或真实案件</x:v>
      </x:c>
      <x:c r="AE14" s="20" t="str">
        <x:v>won</x:v>
      </x:c>
      <x:c r="AF14" s="20" t="str">
        <x:v>纯合成案例；金额、人物、订单与结果均不对应真实交易。</x:v>
      </x:c>
    </x:row>
    <x:row r="15" ht="66" customHeight="1">
      <x:c r="A15" s="20" t="str">
        <x:v>SYN-002</x:v>
      </x:c>
      <x:c r="B15" s="20" t="str">
        <x:v>家庭共享设备上的未成年人购买</x:v>
      </x:c>
      <x:c r="C15" s="20" t="str">
        <x:v>RULE_DERIVED_SYNTHETIC</x:v>
      </x:c>
      <x:c r="D15" s="20" t="str">
        <x:v>C-RULE-DERIVED</x:v>
      </x:c>
      <x:c r="E15" s="21" t="b">
        <x:v>1</x:v>
      </x:c>
      <x:c r="F15" s="20" t="str">
        <x:v>游戏</x:v>
      </x:c>
      <x:c r="G15" s="20" t="str">
        <x:v>数字商品</x:v>
      </x:c>
      <x:c r="H15" s="20" t="str">
        <x:v>GLOBAL-SYNTHETIC</x:v>
      </x:c>
      <x:c r="I15" s="22" t="str"/>
      <x:c r="J15" s="20" t="str">
        <x:v>NOT_DISCLOSED</x:v>
      </x:c>
      <x:c r="K15" s="20" t="str">
        <x:v>NOT_DISCLOSED</x:v>
      </x:c>
      <x:c r="L15" s="20" t="str">
        <x:v>SYNTHETIC</x:v>
      </x:c>
      <x:c r="M15" s="20" t="str">
        <x:v>FRAUD_CARD_NOT_PRESENT</x:v>
      </x:c>
      <x:c r="N15" s="20" t="str">
        <x:v>持卡人称孩子未经允许在家庭平板充值</x:v>
      </x:c>
      <x:c r="O15" s="20" t="str">
        <x:v>商户按FRAUD_CARD_NOT_PRESENT准备已有证据并等待人工决定</x:v>
      </x:c>
      <x:c r="P15" s="20" t="str">
        <x:v>持卡人称孩子未经允许在家庭平板充值</x:v>
      </x:c>
      <x:c r="Q15" s="20" t="str">
        <x:v>SIMULATED_REVIEW</x:v>
      </x:c>
      <x:c r="R15" s="20" t="str">
        <x:v>EXPECTED_LOST</x:v>
      </x:c>
      <x:c r="S15" s="20" t="str">
        <x:v>NOT_APPLICABLE</x:v>
      </x:c>
      <x:c r="T15" s="20" t="str">
        <x:v>SIMULATED_EXPECTATION</x:v>
      </x:c>
      <x:c r="U15" s="20" t="str">
        <x:v>模拟预期：EXPECTED_LOST。设备匹配不等于持卡人授权；缺3DS时不应把家庭关系当作同意</x:v>
      </x:c>
      <x:c r="V15" s="20" t="str">
        <x:v>设备匹配不等于持卡人授权；缺3DS时不应把家庭关系当作同意</x:v>
      </x:c>
      <x:c r="W15" s="20" t="str">
        <x:v>SHARED_FAMILY_DEVICE</x:v>
      </x:c>
      <x:c r="X15" s="20" t="str">
        <x:v>RISK</x:v>
      </x:c>
      <x:c r="Y15" s="20" t="str">
        <x:v>CONFLICT_OR_WEAK_EVIDENCE</x:v>
      </x:c>
      <x:c r="Z15" s="20" t="str">
        <x:v>PARTIAL</x:v>
      </x:c>
      <x:c r="AA15" s="20" t="str">
        <x:v>设备匹配不等于持卡人授权；缺3DS时不应把家庭关系当作同意</x:v>
      </x:c>
      <x:c r="AB15" s="20" t="str">
        <x:v>设备匹配不等于持卡人授权；缺3DS时不应把家庭关系当作同意</x:v>
      </x:c>
      <x:c r="AC15" s="20" t="str">
        <x:v>SRC-VISA-CE3</x:v>
      </x:c>
      <x:c r="AD15" s="20" t="str">
        <x:v>依据官方流程/证据原则构造；不是Oceanpayment真实规则或真实案件</x:v>
      </x:c>
      <x:c r="AE15" s="20" t="str">
        <x:v>lost</x:v>
      </x:c>
      <x:c r="AF15" s="20" t="str">
        <x:v>纯合成案例；金额、人物、订单与结果均不对应真实交易。</x:v>
      </x:c>
    </x:row>
    <x:row r="16" ht="66" customHeight="1">
      <x:c r="A16" s="20" t="str">
        <x:v>SYN-003</x:v>
      </x:c>
      <x:c r="B16" s="20" t="str">
        <x:v>3DS通过但账户接管迹象明显</x:v>
      </x:c>
      <x:c r="C16" s="20" t="str">
        <x:v>RULE_DERIVED_SYNTHETIC</x:v>
      </x:c>
      <x:c r="D16" s="20" t="str">
        <x:v>C-RULE-DERIVED</x:v>
      </x:c>
      <x:c r="E16" s="21" t="b">
        <x:v>1</x:v>
      </x:c>
      <x:c r="F16" s="20" t="str">
        <x:v>电商</x:v>
      </x:c>
      <x:c r="G16" s="20" t="str">
        <x:v>高价值电子品</x:v>
      </x:c>
      <x:c r="H16" s="20" t="str">
        <x:v>GLOBAL-SYNTHETIC</x:v>
      </x:c>
      <x:c r="I16" s="22" t="str"/>
      <x:c r="J16" s="20" t="str">
        <x:v>NOT_DISCLOSED</x:v>
      </x:c>
      <x:c r="K16" s="20" t="str">
        <x:v>NOT_DISCLOSED</x:v>
      </x:c>
      <x:c r="L16" s="20" t="str">
        <x:v>SYNTHETIC</x:v>
      </x:c>
      <x:c r="M16" s="20" t="str">
        <x:v>FRAUD_CARD_NOT_PRESENT</x:v>
      </x:c>
      <x:c r="N16" s="20" t="str">
        <x:v>3DS成功，但新设备、新地址且登录凭据疑似泄露</x:v>
      </x:c>
      <x:c r="O16" s="20" t="str">
        <x:v>商户按FRAUD_CARD_NOT_PRESENT准备已有证据并等待人工决定</x:v>
      </x:c>
      <x:c r="P16" s="20" t="str">
        <x:v>3DS成功，但新设备、新地址且登录凭据疑似泄露</x:v>
      </x:c>
      <x:c r="Q16" s="20" t="str">
        <x:v>SIMULATED_REVIEW</x:v>
      </x:c>
      <x:c r="R16" s="20" t="str">
        <x:v>EXPECTED_PENDING</x:v>
      </x:c>
      <x:c r="S16" s="20" t="str">
        <x:v>NOT_APPLICABLE</x:v>
      </x:c>
      <x:c r="T16" s="20" t="str">
        <x:v>SIMULATED_EXPECTATION</x:v>
      </x:c>
      <x:c r="U16" s="20" t="str">
        <x:v>模拟预期：EXPECTED_PENDING。责任转移与账户接管信号冲突，必须人工审查并保留风险决定</x:v>
      </x:c>
      <x:c r="V16" s="20" t="str">
        <x:v>责任转移与账户接管信号冲突，必须人工审查并保留风险决定</x:v>
      </x:c>
      <x:c r="W16" s="20" t="str">
        <x:v>CONTRADICTORY_FRAUD_SIGNALS</x:v>
      </x:c>
      <x:c r="X16" s="20" t="str">
        <x:v>RISK</x:v>
      </x:c>
      <x:c r="Y16" s="20" t="str">
        <x:v>CONFLICT_OR_WEAK_EVIDENCE</x:v>
      </x:c>
      <x:c r="Z16" s="20" t="str">
        <x:v>PARTIAL</x:v>
      </x:c>
      <x:c r="AA16" s="20" t="str">
        <x:v>责任转移与账户接管信号冲突，必须人工审查并保留风险决定</x:v>
      </x:c>
      <x:c r="AB16" s="20" t="str">
        <x:v>责任转移与账户接管信号冲突，必须人工审查并保留风险决定</x:v>
      </x:c>
      <x:c r="AC16" s="20" t="str">
        <x:v>SRC-VISA-CE3</x:v>
      </x:c>
      <x:c r="AD16" s="20" t="str">
        <x:v>依据官方流程/证据原则构造；不是Oceanpayment真实规则或真实案件</x:v>
      </x:c>
      <x:c r="AE16" s="20" t="str">
        <x:v>pending</x:v>
      </x:c>
      <x:c r="AF16" s="20" t="str">
        <x:v>纯合成案例；金额、人物、订单与结果均不对应真实交易。</x:v>
      </x:c>
    </x:row>
    <x:row r="17" ht="66" customHeight="1">
      <x:c r="A17" s="20" t="str">
        <x:v>SYN-004</x:v>
      </x:c>
      <x:c r="B17" s="20" t="str">
        <x:v>熟客突然否认周期性大额交易</x:v>
      </x:c>
      <x:c r="C17" s="20" t="str">
        <x:v>RULE_DERIVED_SYNTHETIC</x:v>
      </x:c>
      <x:c r="D17" s="20" t="str">
        <x:v>C-RULE-DERIVED</x:v>
      </x:c>
      <x:c r="E17" s="21" t="b">
        <x:v>1</x:v>
      </x:c>
      <x:c r="F17" s="20" t="str">
        <x:v>SaaS</x:v>
      </x:c>
      <x:c r="G17" s="20" t="str">
        <x:v>企业软件</x:v>
      </x:c>
      <x:c r="H17" s="20" t="str">
        <x:v>GLOBAL-SYNTHETIC</x:v>
      </x:c>
      <x:c r="I17" s="22" t="str"/>
      <x:c r="J17" s="20" t="str">
        <x:v>NOT_DISCLOSED</x:v>
      </x:c>
      <x:c r="K17" s="20" t="str">
        <x:v>NOT_DISCLOSED</x:v>
      </x:c>
      <x:c r="L17" s="20" t="str">
        <x:v>SYNTHETIC</x:v>
      </x:c>
      <x:c r="M17" s="20" t="str">
        <x:v>FRAUD_CARD_NOT_PRESENT</x:v>
      </x:c>
      <x:c r="N17" s="20" t="str">
        <x:v>同卡连续正常支付一年后否认最新一笔，设备与历史一致</x:v>
      </x:c>
      <x:c r="O17" s="20" t="str">
        <x:v>商户按FRAUD_CARD_NOT_PRESENT准备已有证据并等待人工决定</x:v>
      </x:c>
      <x:c r="P17" s="20" t="str">
        <x:v>同卡连续正常支付一年后否认最新一笔，设备与历史一致</x:v>
      </x:c>
      <x:c r="Q17" s="20" t="str">
        <x:v>SIMULATED_REVIEW</x:v>
      </x:c>
      <x:c r="R17" s="20" t="str">
        <x:v>EXPECTED_WON</x:v>
      </x:c>
      <x:c r="S17" s="20" t="str">
        <x:v>NOT_APPLICABLE</x:v>
      </x:c>
      <x:c r="T17" s="20" t="str">
        <x:v>SIMULATED_EXPECTATION</x:v>
      </x:c>
      <x:c r="U17" s="20" t="str">
        <x:v>模拟预期：EXPECTED_WON。历史关系有帮助但不能替代认证；补齐登录与服务使用证明</x:v>
      </x:c>
      <x:c r="V17" s="20" t="str">
        <x:v>历史关系有帮助但不能替代认证；补齐登录与服务使用证明</x:v>
      </x:c>
      <x:c r="W17" s="20" t="str">
        <x:v>PRIOR_RELATIONSHIP</x:v>
      </x:c>
      <x:c r="X17" s="20" t="str">
        <x:v>RISK</x:v>
      </x:c>
      <x:c r="Y17" s="20" t="str">
        <x:v>POLICY_REVIEW</x:v>
      </x:c>
      <x:c r="Z17" s="20" t="str">
        <x:v>PARTIAL</x:v>
      </x:c>
      <x:c r="AA17" s="20" t="str">
        <x:v>历史关系有帮助但不能替代认证；补齐登录与服务使用证明</x:v>
      </x:c>
      <x:c r="AB17" s="20" t="str">
        <x:v>历史关系有帮助但不能替代认证；补齐登录与服务使用证明</x:v>
      </x:c>
      <x:c r="AC17" s="20" t="str">
        <x:v>SRC-VISA-CE3</x:v>
      </x:c>
      <x:c r="AD17" s="20" t="str">
        <x:v>依据官方流程/证据原则构造；不是Oceanpayment真实规则或真实案件</x:v>
      </x:c>
      <x:c r="AE17" s="20" t="str">
        <x:v>won</x:v>
      </x:c>
      <x:c r="AF17" s="20" t="str">
        <x:v>纯合成案例；金额、人物、订单与结果均不对应真实交易。</x:v>
      </x:c>
    </x:row>
    <x:row r="18" ht="66" customHeight="1">
      <x:c r="A18" s="20" t="str">
        <x:v>SYN-005</x:v>
      </x:c>
      <x:c r="B18" s="20" t="str">
        <x:v>包裹签收后在门口被盗</x:v>
      </x:c>
      <x:c r="C18" s="20" t="str">
        <x:v>RULE_DERIVED_SYNTHETIC</x:v>
      </x:c>
      <x:c r="D18" s="20" t="str">
        <x:v>C-RULE-DERIVED</x:v>
      </x:c>
      <x:c r="E18" s="21" t="b">
        <x:v>1</x:v>
      </x:c>
      <x:c r="F18" s="20" t="str">
        <x:v>电商</x:v>
      </x:c>
      <x:c r="G18" s="20" t="str">
        <x:v>实体商品</x:v>
      </x:c>
      <x:c r="H18" s="20" t="str">
        <x:v>GLOBAL-SYNTHETIC</x:v>
      </x:c>
      <x:c r="I18" s="22" t="str"/>
      <x:c r="J18" s="20" t="str">
        <x:v>NOT_DISCLOSED</x:v>
      </x:c>
      <x:c r="K18" s="20" t="str">
        <x:v>NOT_DISCLOSED</x:v>
      </x:c>
      <x:c r="L18" s="20" t="str">
        <x:v>SYNTHETIC</x:v>
      </x:c>
      <x:c r="M18" s="20" t="str">
        <x:v>PRODUCT_NOT_RECEIVED</x:v>
      </x:c>
      <x:c r="N18" s="20" t="str">
        <x:v>承运商拍照妥投，消费者称回家时包裹已被盗</x:v>
      </x:c>
      <x:c r="O18" s="20" t="str">
        <x:v>商户按PRODUCT_NOT_RECEIVED准备已有证据并等待人工决定</x:v>
      </x:c>
      <x:c r="P18" s="20" t="str">
        <x:v>承运商拍照妥投，消费者称回家时包裹已被盗</x:v>
      </x:c>
      <x:c r="Q18" s="20" t="str">
        <x:v>SIMULATED_REVIEW</x:v>
      </x:c>
      <x:c r="R18" s="20" t="str">
        <x:v>EXPECTED_WON</x:v>
      </x:c>
      <x:c r="S18" s="20" t="str">
        <x:v>NOT_APPLICABLE</x:v>
      </x:c>
      <x:c r="T18" s="20" t="str">
        <x:v>SIMULATED_EXPECTATION</x:v>
      </x:c>
      <x:c r="U18" s="20" t="str">
        <x:v>模拟预期：EXPECTED_WON。先证明按约妥投；是否需签名取决于承诺、商品风险与适用规则</x:v>
      </x:c>
      <x:c r="V18" s="20" t="str">
        <x:v>先证明按约妥投；是否需签名取决于承诺、商品风险与适用规则</x:v>
      </x:c>
      <x:c r="W18" s="20" t="str">
        <x:v>PORCH_THEFT_AFTER_DELIVERY</x:v>
      </x:c>
      <x:c r="X18" s="20" t="str">
        <x:v>CUSTOMER_SUPPORT</x:v>
      </x:c>
      <x:c r="Y18" s="20" t="str">
        <x:v>POLICY_REVIEW</x:v>
      </x:c>
      <x:c r="Z18" s="20" t="str">
        <x:v>PARTIAL</x:v>
      </x:c>
      <x:c r="AA18" s="20" t="str">
        <x:v>先证明按约妥投；是否需签名取决于承诺、商品风险与适用规则</x:v>
      </x:c>
      <x:c r="AB18" s="20" t="str">
        <x:v>先证明按约妥投；是否需签名取决于承诺、商品风险与适用规则</x:v>
      </x:c>
      <x:c r="AC18" s="20" t="str">
        <x:v>SRC-MC</x:v>
      </x:c>
      <x:c r="AD18" s="20" t="str">
        <x:v>依据官方流程/证据原则构造；不是Oceanpayment真实规则或真实案件</x:v>
      </x:c>
      <x:c r="AE18" s="20" t="str">
        <x:v>won</x:v>
      </x:c>
      <x:c r="AF18" s="20" t="str">
        <x:v>纯合成案例；金额、人物、订单与结果均不对应真实交易。</x:v>
      </x:c>
    </x:row>
    <x:row r="19" ht="66" customHeight="1">
      <x:c r="A19" s="20" t="str">
        <x:v>SYN-006</x:v>
      </x:c>
      <x:c r="B19" s="20" t="str">
        <x:v>一个订单只发了三件中的两件</x:v>
      </x:c>
      <x:c r="C19" s="20" t="str">
        <x:v>RULE_DERIVED_SYNTHETIC</x:v>
      </x:c>
      <x:c r="D19" s="20" t="str">
        <x:v>C-RULE-DERIVED</x:v>
      </x:c>
      <x:c r="E19" s="21" t="b">
        <x:v>1</x:v>
      </x:c>
      <x:c r="F19" s="20" t="str">
        <x:v>电商</x:v>
      </x:c>
      <x:c r="G19" s="20" t="str">
        <x:v>部分发货</x:v>
      </x:c>
      <x:c r="H19" s="20" t="str">
        <x:v>GLOBAL-SYNTHETIC</x:v>
      </x:c>
      <x:c r="I19" s="22" t="str"/>
      <x:c r="J19" s="20" t="str">
        <x:v>NOT_DISCLOSED</x:v>
      </x:c>
      <x:c r="K19" s="20" t="str">
        <x:v>NOT_DISCLOSED</x:v>
      </x:c>
      <x:c r="L19" s="20" t="str">
        <x:v>SYNTHETIC</x:v>
      </x:c>
      <x:c r="M19" s="20" t="str">
        <x:v>PRODUCT_NOT_RECEIVED</x:v>
      </x:c>
      <x:c r="N19" s="20" t="str">
        <x:v>订单三件商品，物流只证明两件送达，消费者争议全额</x:v>
      </x:c>
      <x:c r="O19" s="20" t="str">
        <x:v>商户按PRODUCT_NOT_RECEIVED准备已有证据并等待人工决定</x:v>
      </x:c>
      <x:c r="P19" s="20" t="str">
        <x:v>订单三件商品，物流只证明两件送达，消费者争议全额</x:v>
      </x:c>
      <x:c r="Q19" s="20" t="str">
        <x:v>SIMULATED_REVIEW</x:v>
      </x:c>
      <x:c r="R19" s="20" t="str">
        <x:v>EXPECTED_PENDING</x:v>
      </x:c>
      <x:c r="S19" s="20" t="str">
        <x:v>NOT_APPLICABLE</x:v>
      </x:c>
      <x:c r="T19" s="20" t="str">
        <x:v>SIMULATED_EXPECTATION</x:v>
      </x:c>
      <x:c r="U19" s="20" t="str">
        <x:v>模拟预期：EXPECTED_PENDING。按未交付部分计算争议金额，避免用部分送达反驳全部缺失</x:v>
      </x:c>
      <x:c r="V19" s="20" t="str">
        <x:v>按未交付部分计算争议金额，避免用部分送达反驳全部缺失</x:v>
      </x:c>
      <x:c r="W19" s="20" t="str">
        <x:v>PARTIAL_FULFILLMENT</x:v>
      </x:c>
      <x:c r="X19" s="20" t="str">
        <x:v>CUSTOMER_SUPPORT</x:v>
      </x:c>
      <x:c r="Y19" s="20" t="str">
        <x:v>CONFLICT_OR_WEAK_EVIDENCE</x:v>
      </x:c>
      <x:c r="Z19" s="20" t="str">
        <x:v>PARTIAL</x:v>
      </x:c>
      <x:c r="AA19" s="20" t="str">
        <x:v>按未交付部分计算争议金额，避免用部分送达反驳全部缺失</x:v>
      </x:c>
      <x:c r="AB19" s="20" t="str">
        <x:v>按未交付部分计算争议金额，避免用部分送达反驳全部缺失</x:v>
      </x:c>
      <x:c r="AC19" s="20" t="str">
        <x:v>SRC-MC</x:v>
      </x:c>
      <x:c r="AD19" s="20" t="str">
        <x:v>依据官方流程/证据原则构造；不是Oceanpayment真实规则或真实案件</x:v>
      </x:c>
      <x:c r="AE19" s="20" t="str">
        <x:v>pending</x:v>
      </x:c>
      <x:c r="AF19" s="20" t="str">
        <x:v>纯合成案例；金额、人物、订单与结果均不对应真实交易。</x:v>
      </x:c>
    </x:row>
    <x:row r="20" ht="66" customHeight="1">
      <x:c r="A20" s="20" t="str">
        <x:v>SYN-007</x:v>
      </x:c>
      <x:c r="B20" s="20" t="str">
        <x:v>虚拟课程已观看但称未收到</x:v>
      </x:c>
      <x:c r="C20" s="20" t="str">
        <x:v>RULE_DERIVED_SYNTHETIC</x:v>
      </x:c>
      <x:c r="D20" s="20" t="str">
        <x:v>C-RULE-DERIVED</x:v>
      </x:c>
      <x:c r="E20" s="21" t="b">
        <x:v>1</x:v>
      </x:c>
      <x:c r="F20" s="20" t="str">
        <x:v>在线教育</x:v>
      </x:c>
      <x:c r="G20" s="20" t="str">
        <x:v>数字服务</x:v>
      </x:c>
      <x:c r="H20" s="20" t="str">
        <x:v>GLOBAL-SYNTHETIC</x:v>
      </x:c>
      <x:c r="I20" s="22" t="str"/>
      <x:c r="J20" s="20" t="str">
        <x:v>NOT_DISCLOSED</x:v>
      </x:c>
      <x:c r="K20" s="20" t="str">
        <x:v>NOT_DISCLOSED</x:v>
      </x:c>
      <x:c r="L20" s="20" t="str">
        <x:v>SYNTHETIC</x:v>
      </x:c>
      <x:c r="M20" s="20" t="str">
        <x:v>PRODUCT_NOT_RECEIVED</x:v>
      </x:c>
      <x:c r="N20" s="20" t="str">
        <x:v>课程账号已观看80%，但消费者称没有收到服务</x:v>
      </x:c>
      <x:c r="O20" s="20" t="str">
        <x:v>商户按PRODUCT_NOT_RECEIVED准备已有证据并等待人工决定</x:v>
      </x:c>
      <x:c r="P20" s="20" t="str">
        <x:v>课程账号已观看80%，但消费者称没有收到服务</x:v>
      </x:c>
      <x:c r="Q20" s="20" t="str">
        <x:v>SIMULATED_REVIEW</x:v>
      </x:c>
      <x:c r="R20" s="20" t="str">
        <x:v>EXPECTED_WON</x:v>
      </x:c>
      <x:c r="S20" s="20" t="str">
        <x:v>NOT_APPLICABLE</x:v>
      </x:c>
      <x:c r="T20" s="20" t="str">
        <x:v>SIMULATED_EXPECTATION</x:v>
      </x:c>
      <x:c r="U20" s="20" t="str">
        <x:v>模拟预期：EXPECTED_WON。数字服务以访问、观看和互动日志替代物流证据</x:v>
      </x:c>
      <x:c r="V20" s="20" t="str">
        <x:v>数字服务以访问、观看和互动日志替代物流证据</x:v>
      </x:c>
      <x:c r="W20" s="20" t="str">
        <x:v>SERVICE_USAGE</x:v>
      </x:c>
      <x:c r="X20" s="20" t="str">
        <x:v>CUSTOMER_SUPPORT</x:v>
      </x:c>
      <x:c r="Y20" s="20" t="str">
        <x:v>POLICY_REVIEW</x:v>
      </x:c>
      <x:c r="Z20" s="20" t="str">
        <x:v>PARTIAL</x:v>
      </x:c>
      <x:c r="AA20" s="20" t="str">
        <x:v>数字服务以访问、观看和互动日志替代物流证据</x:v>
      </x:c>
      <x:c r="AB20" s="20" t="str">
        <x:v>数字服务以访问、观看和互动日志替代物流证据</x:v>
      </x:c>
      <x:c r="AC20" s="20" t="str">
        <x:v>SRC-MC</x:v>
      </x:c>
      <x:c r="AD20" s="20" t="str">
        <x:v>依据官方流程/证据原则构造；不是Oceanpayment真实规则或真实案件</x:v>
      </x:c>
      <x:c r="AE20" s="20" t="str">
        <x:v>won</x:v>
      </x:c>
      <x:c r="AF20" s="20" t="str">
        <x:v>纯合成案例；金额、人物、订单与结果均不对应真实交易。</x:v>
      </x:c>
    </x:row>
    <x:row r="21" ht="66" customHeight="1">
      <x:c r="A21" s="20" t="str">
        <x:v>SYN-008</x:v>
      </x:c>
      <x:c r="B21" s="20" t="str">
        <x:v>商户取消酒店却只给代金券</x:v>
      </x:c>
      <x:c r="C21" s="20" t="str">
        <x:v>RULE_DERIVED_SYNTHETIC</x:v>
      </x:c>
      <x:c r="D21" s="20" t="str">
        <x:v>C-RULE-DERIVED</x:v>
      </x:c>
      <x:c r="E21" s="21" t="b">
        <x:v>1</x:v>
      </x:c>
      <x:c r="F21" s="20" t="str">
        <x:v>酒店旅游</x:v>
      </x:c>
      <x:c r="G21" s="20" t="str">
        <x:v>住宿服务</x:v>
      </x:c>
      <x:c r="H21" s="20" t="str">
        <x:v>GLOBAL-SYNTHETIC</x:v>
      </x:c>
      <x:c r="I21" s="22" t="str"/>
      <x:c r="J21" s="20" t="str">
        <x:v>NOT_DISCLOSED</x:v>
      </x:c>
      <x:c r="K21" s="20" t="str">
        <x:v>NOT_DISCLOSED</x:v>
      </x:c>
      <x:c r="L21" s="20" t="str">
        <x:v>SYNTHETIC</x:v>
      </x:c>
      <x:c r="M21" s="20" t="str">
        <x:v>PRODUCT_NOT_RECEIVED</x:v>
      </x:c>
      <x:c r="N21" s="20" t="str">
        <x:v>酒店主动取消且无法提供住宿，只提供一年期代金券</x:v>
      </x:c>
      <x:c r="O21" s="20" t="str">
        <x:v>商户按PRODUCT_NOT_RECEIVED准备已有证据并等待人工决定</x:v>
      </x:c>
      <x:c r="P21" s="20" t="str">
        <x:v>酒店主动取消且无法提供住宿，只提供一年期代金券</x:v>
      </x:c>
      <x:c r="Q21" s="20" t="str">
        <x:v>SIMULATED_REVIEW</x:v>
      </x:c>
      <x:c r="R21" s="20" t="str">
        <x:v>EXPECTED_LOST</x:v>
      </x:c>
      <x:c r="S21" s="20" t="str">
        <x:v>NOT_APPLICABLE</x:v>
      </x:c>
      <x:c r="T21" s="20" t="str">
        <x:v>SIMULATED_EXPECTATION</x:v>
      </x:c>
      <x:c r="U21" s="20" t="str">
        <x:v>模拟预期：EXPECTED_LOST。商户无法履约与客人主动取消不同；若无现金退款依据，接受或退款更合理</x:v>
      </x:c>
      <x:c r="V21" s="20" t="str">
        <x:v>商户无法履约与客人主动取消不同；若无现金退款依据，接受或退款更合理</x:v>
      </x:c>
      <x:c r="W21" s="20" t="str">
        <x:v>MERCHANT_CANCELED</x:v>
      </x:c>
      <x:c r="X21" s="20" t="str">
        <x:v>CUSTOMER_SUPPORT</x:v>
      </x:c>
      <x:c r="Y21" s="20" t="str">
        <x:v>CONFLICT_OR_WEAK_EVIDENCE</x:v>
      </x:c>
      <x:c r="Z21" s="20" t="str">
        <x:v>PARTIAL</x:v>
      </x:c>
      <x:c r="AA21" s="20" t="str">
        <x:v>商户无法履约与客人主动取消不同；若无现金退款依据，接受或退款更合理</x:v>
      </x:c>
      <x:c r="AB21" s="20" t="str">
        <x:v>商户无法履约与客人主动取消不同；若无现金退款依据，接受或退款更合理</x:v>
      </x:c>
      <x:c r="AC21" s="20" t="str">
        <x:v>SRC-MC</x:v>
      </x:c>
      <x:c r="AD21" s="20" t="str">
        <x:v>依据官方流程/证据原则构造；不是Oceanpayment真实规则或真实案件</x:v>
      </x:c>
      <x:c r="AE21" s="20" t="str">
        <x:v>lost</x:v>
      </x:c>
      <x:c r="AF21" s="20" t="str">
        <x:v>纯合成案例；金额、人物、订单与结果均不对应真实交易。</x:v>
      </x:c>
    </x:row>
    <x:row r="22" ht="66" customHeight="1">
      <x:c r="A22" s="20" t="str">
        <x:v>SYN-009</x:v>
      </x:c>
      <x:c r="B22" s="20" t="str">
        <x:v>页面写真皮但收到人造革</x:v>
      </x:c>
      <x:c r="C22" s="20" t="str">
        <x:v>RULE_DERIVED_SYNTHETIC</x:v>
      </x:c>
      <x:c r="D22" s="20" t="str">
        <x:v>C-RULE-DERIVED</x:v>
      </x:c>
      <x:c r="E22" s="21" t="b">
        <x:v>1</x:v>
      </x:c>
      <x:c r="F22" s="20" t="str">
        <x:v>电商</x:v>
      </x:c>
      <x:c r="G22" s="20" t="str">
        <x:v>实体商品</x:v>
      </x:c>
      <x:c r="H22" s="20" t="str">
        <x:v>GLOBAL-SYNTHETIC</x:v>
      </x:c>
      <x:c r="I22" s="22" t="str"/>
      <x:c r="J22" s="20" t="str">
        <x:v>NOT_DISCLOSED</x:v>
      </x:c>
      <x:c r="K22" s="20" t="str">
        <x:v>NOT_DISCLOSED</x:v>
      </x:c>
      <x:c r="L22" s="20" t="str">
        <x:v>SYNTHETIC</x:v>
      </x:c>
      <x:c r="M22" s="20" t="str">
        <x:v>PRODUCT_NOT_AS_DESCRIBED</x:v>
      </x:c>
      <x:c r="N22" s="20" t="str">
        <x:v>消费者提供开箱与材质检测，页面快照写真皮</x:v>
      </x:c>
      <x:c r="O22" s="20" t="str">
        <x:v>商户按PRODUCT_NOT_AS_DESCRIBED准备已有证据并等待人工决定</x:v>
      </x:c>
      <x:c r="P22" s="20" t="str">
        <x:v>消费者提供开箱与材质检测，页面快照写真皮</x:v>
      </x:c>
      <x:c r="Q22" s="20" t="str">
        <x:v>SIMULATED_REVIEW</x:v>
      </x:c>
      <x:c r="R22" s="20" t="str">
        <x:v>EXPECTED_LOST</x:v>
      </x:c>
      <x:c r="S22" s="20" t="str">
        <x:v>NOT_APPLICABLE</x:v>
      </x:c>
      <x:c r="T22" s="20" t="str">
        <x:v>SIMULATED_EXPECTATION</x:v>
      </x:c>
      <x:c r="U22" s="20" t="str">
        <x:v>模拟预期：EXPECTED_LOST。客观规格矛盾且消费者愿意退货，商户应接受退款或提供反证</x:v>
      </x:c>
      <x:c r="V22" s="20" t="str">
        <x:v>客观规格矛盾且消费者愿意退货，商户应接受退款或提供反证</x:v>
      </x:c>
      <x:c r="W22" s="20" t="str">
        <x:v>OBJECTIVE_MISDESCRIPTION</x:v>
      </x:c>
      <x:c r="X22" s="20" t="str">
        <x:v>BUSINESS</x:v>
      </x:c>
      <x:c r="Y22" s="20" t="str">
        <x:v>CONFLICT_OR_WEAK_EVIDENCE</x:v>
      </x:c>
      <x:c r="Z22" s="20" t="str">
        <x:v>PARTIAL</x:v>
      </x:c>
      <x:c r="AA22" s="20" t="str">
        <x:v>客观规格矛盾且消费者愿意退货，商户应接受退款或提供反证</x:v>
      </x:c>
      <x:c r="AB22" s="20" t="str">
        <x:v>客观规格矛盾且消费者愿意退货，商户应接受退款或提供反证</x:v>
      </x:c>
      <x:c r="AC22" s="20" t="str">
        <x:v>SRC-MC</x:v>
      </x:c>
      <x:c r="AD22" s="20" t="str">
        <x:v>依据官方流程/证据原则构造；不是Oceanpayment真实规则或真实案件</x:v>
      </x:c>
      <x:c r="AE22" s="20" t="str">
        <x:v>lost</x:v>
      </x:c>
      <x:c r="AF22" s="20" t="str">
        <x:v>纯合成案例；金额、人物、订单与结果均不对应真实交易。</x:v>
      </x:c>
    </x:row>
    <x:row r="23" ht="66" customHeight="1">
      <x:c r="A23" s="20" t="str">
        <x:v>SYN-010</x:v>
      </x:c>
      <x:c r="B23" s="20" t="str">
        <x:v>颜色轻微偏差但页面有显示器免责声明</x:v>
      </x:c>
      <x:c r="C23" s="20" t="str">
        <x:v>RULE_DERIVED_SYNTHETIC</x:v>
      </x:c>
      <x:c r="D23" s="20" t="str">
        <x:v>C-RULE-DERIVED</x:v>
      </x:c>
      <x:c r="E23" s="21" t="b">
        <x:v>1</x:v>
      </x:c>
      <x:c r="F23" s="20" t="str">
        <x:v>电商</x:v>
      </x:c>
      <x:c r="G23" s="20" t="str">
        <x:v>实体商品</x:v>
      </x:c>
      <x:c r="H23" s="20" t="str">
        <x:v>GLOBAL-SYNTHETIC</x:v>
      </x:c>
      <x:c r="I23" s="22" t="str"/>
      <x:c r="J23" s="20" t="str">
        <x:v>NOT_DISCLOSED</x:v>
      </x:c>
      <x:c r="K23" s="20" t="str">
        <x:v>NOT_DISCLOSED</x:v>
      </x:c>
      <x:c r="L23" s="20" t="str">
        <x:v>SYNTHETIC</x:v>
      </x:c>
      <x:c r="M23" s="20" t="str">
        <x:v>PRODUCT_NOT_AS_DESCRIBED</x:v>
      </x:c>
      <x:c r="N23" s="20" t="str">
        <x:v>消费者称色差，商户页面注明不同屏幕可能有差异</x:v>
      </x:c>
      <x:c r="O23" s="20" t="str">
        <x:v>商户按PRODUCT_NOT_AS_DESCRIBED准备已有证据并等待人工决定</x:v>
      </x:c>
      <x:c r="P23" s="20" t="str">
        <x:v>消费者称色差，商户页面注明不同屏幕可能有差异</x:v>
      </x:c>
      <x:c r="Q23" s="20" t="str">
        <x:v>SIMULATED_REVIEW</x:v>
      </x:c>
      <x:c r="R23" s="20" t="str">
        <x:v>EXPECTED_WON</x:v>
      </x:c>
      <x:c r="S23" s="20" t="str">
        <x:v>NOT_APPLICABLE</x:v>
      </x:c>
      <x:c r="T23" s="20" t="str">
        <x:v>SIMULATED_EXPECTATION</x:v>
      </x:c>
      <x:c r="U23" s="20" t="str">
        <x:v>模拟预期：EXPECTED_WON。判断是否为实质不符，并证明交易时已披露合理差异</x:v>
      </x:c>
      <x:c r="V23" s="20" t="str">
        <x:v>判断是否为实质不符，并证明交易时已披露合理差异</x:v>
      </x:c>
      <x:c r="W23" s="20" t="str">
        <x:v>SUBJECTIVE_DIFFERENCE</x:v>
      </x:c>
      <x:c r="X23" s="20" t="str">
        <x:v>BUSINESS</x:v>
      </x:c>
      <x:c r="Y23" s="20" t="str">
        <x:v>POLICY_REVIEW</x:v>
      </x:c>
      <x:c r="Z23" s="20" t="str">
        <x:v>PARTIAL</x:v>
      </x:c>
      <x:c r="AA23" s="20" t="str">
        <x:v>判断是否为实质不符，并证明交易时已披露合理差异</x:v>
      </x:c>
      <x:c r="AB23" s="20" t="str">
        <x:v>判断是否为实质不符，并证明交易时已披露合理差异</x:v>
      </x:c>
      <x:c r="AC23" s="20" t="str">
        <x:v>SRC-MC</x:v>
      </x:c>
      <x:c r="AD23" s="20" t="str">
        <x:v>依据官方流程/证据原则构造；不是Oceanpayment真实规则或真实案件</x:v>
      </x:c>
      <x:c r="AE23" s="20" t="str">
        <x:v>won</x:v>
      </x:c>
      <x:c r="AF23" s="20" t="str">
        <x:v>纯合成案例；金额、人物、订单与结果均不对应真实交易。</x:v>
      </x:c>
    </x:row>
    <x:row r="24" ht="66" customHeight="1">
      <x:c r="A24" s="20" t="str">
        <x:v>SYN-011</x:v>
      </x:c>
      <x:c r="B24" s="20" t="str">
        <x:v>定制礼服尺寸不符但量体数据被改写</x:v>
      </x:c>
      <x:c r="C24" s="20" t="str">
        <x:v>RULE_DERIVED_SYNTHETIC</x:v>
      </x:c>
      <x:c r="D24" s="20" t="str">
        <x:v>C-RULE-DERIVED</x:v>
      </x:c>
      <x:c r="E24" s="21" t="b">
        <x:v>1</x:v>
      </x:c>
      <x:c r="F24" s="20" t="str">
        <x:v>服装定制</x:v>
      </x:c>
      <x:c r="G24" s="20" t="str">
        <x:v>定制商品</x:v>
      </x:c>
      <x:c r="H24" s="20" t="str">
        <x:v>GLOBAL-SYNTHETIC</x:v>
      </x:c>
      <x:c r="I24" s="22" t="str"/>
      <x:c r="J24" s="20" t="str">
        <x:v>NOT_DISCLOSED</x:v>
      </x:c>
      <x:c r="K24" s="20" t="str">
        <x:v>NOT_DISCLOSED</x:v>
      </x:c>
      <x:c r="L24" s="20" t="str">
        <x:v>SYNTHETIC</x:v>
      </x:c>
      <x:c r="M24" s="20" t="str">
        <x:v>PRODUCT_NOT_AS_DESCRIBED</x:v>
      </x:c>
      <x:c r="N24" s="20" t="str">
        <x:v>成衣与确认尺寸不符，后台记录显示商户后改数据</x:v>
      </x:c>
      <x:c r="O24" s="20" t="str">
        <x:v>商户按PRODUCT_NOT_AS_DESCRIBED准备已有证据并等待人工决定</x:v>
      </x:c>
      <x:c r="P24" s="20" t="str">
        <x:v>成衣与确认尺寸不符，后台记录显示商户后改数据</x:v>
      </x:c>
      <x:c r="Q24" s="20" t="str">
        <x:v>SIMULATED_REVIEW</x:v>
      </x:c>
      <x:c r="R24" s="20" t="str">
        <x:v>EXPECTED_LOST</x:v>
      </x:c>
      <x:c r="S24" s="20" t="str">
        <x:v>NOT_APPLICABLE</x:v>
      </x:c>
      <x:c r="T24" s="20" t="str">
        <x:v>SIMULATED_EXPECTATION</x:v>
      </x:c>
      <x:c r="U24" s="20" t="str">
        <x:v>模拟预期：EXPECTED_LOST。必须保留下单时版本；事后修改页面或规格会削弱证据可信度</x:v>
      </x:c>
      <x:c r="V24" s="20" t="str">
        <x:v>必须保留下单时版本；事后修改页面或规格会削弱证据可信度</x:v>
      </x:c>
      <x:c r="W24" s="20" t="str">
        <x:v>VERSIONED_DESCRIPTION</x:v>
      </x:c>
      <x:c r="X24" s="20" t="str">
        <x:v>BUSINESS</x:v>
      </x:c>
      <x:c r="Y24" s="20" t="str">
        <x:v>CONFLICT_OR_WEAK_EVIDENCE</x:v>
      </x:c>
      <x:c r="Z24" s="20" t="str">
        <x:v>PARTIAL</x:v>
      </x:c>
      <x:c r="AA24" s="20" t="str">
        <x:v>必须保留下单时版本；事后修改页面或规格会削弱证据可信度</x:v>
      </x:c>
      <x:c r="AB24" s="20" t="str">
        <x:v>必须保留下单时版本；事后修改页面或规格会削弱证据可信度</x:v>
      </x:c>
      <x:c r="AC24" s="20" t="str">
        <x:v>SRC-MC</x:v>
      </x:c>
      <x:c r="AD24" s="20" t="str">
        <x:v>依据官方流程/证据原则构造；不是Oceanpayment真实规则或真实案件</x:v>
      </x:c>
      <x:c r="AE24" s="20" t="str">
        <x:v>lost</x:v>
      </x:c>
      <x:c r="AF24" s="20" t="str">
        <x:v>纯合成案例；金额、人物、订单与结果均不对应真实交易。</x:v>
      </x:c>
    </x:row>
    <x:row r="25" ht="66" customHeight="1">
      <x:c r="A25" s="20" t="str">
        <x:v>SYN-012</x:v>
      </x:c>
      <x:c r="B25" s="20" t="str">
        <x:v>软件承诺功能未上线但客户持续使用</x:v>
      </x:c>
      <x:c r="C25" s="20" t="str">
        <x:v>RULE_DERIVED_SYNTHETIC</x:v>
      </x:c>
      <x:c r="D25" s="20" t="str">
        <x:v>C-RULE-DERIVED</x:v>
      </x:c>
      <x:c r="E25" s="21" t="b">
        <x:v>1</x:v>
      </x:c>
      <x:c r="F25" s="20" t="str">
        <x:v>SaaS</x:v>
      </x:c>
      <x:c r="G25" s="20" t="str">
        <x:v>数字服务</x:v>
      </x:c>
      <x:c r="H25" s="20" t="str">
        <x:v>GLOBAL-SYNTHETIC</x:v>
      </x:c>
      <x:c r="I25" s="22" t="str"/>
      <x:c r="J25" s="20" t="str">
        <x:v>NOT_DISCLOSED</x:v>
      </x:c>
      <x:c r="K25" s="20" t="str">
        <x:v>NOT_DISCLOSED</x:v>
      </x:c>
      <x:c r="L25" s="20" t="str">
        <x:v>SYNTHETIC</x:v>
      </x:c>
      <x:c r="M25" s="20" t="str">
        <x:v>PRODUCT_NOT_AS_DESCRIBED</x:v>
      </x:c>
      <x:c r="N25" s="20" t="str">
        <x:v>销售材料承诺关键功能，实际未上线；客户仍使用其他模块</x:v>
      </x:c>
      <x:c r="O25" s="20" t="str">
        <x:v>商户按PRODUCT_NOT_AS_DESCRIBED准备已有证据并等待人工决定</x:v>
      </x:c>
      <x:c r="P25" s="20" t="str">
        <x:v>销售材料承诺关键功能，实际未上线；客户仍使用其他模块</x:v>
      </x:c>
      <x:c r="Q25" s="20" t="str">
        <x:v>SIMULATED_REVIEW</x:v>
      </x:c>
      <x:c r="R25" s="20" t="str">
        <x:v>EXPECTED_PENDING</x:v>
      </x:c>
      <x:c r="S25" s="20" t="str">
        <x:v>NOT_APPLICABLE</x:v>
      </x:c>
      <x:c r="T25" s="20" t="str">
        <x:v>SIMULATED_EXPECTATION</x:v>
      </x:c>
      <x:c r="U25" s="20" t="str">
        <x:v>模拟预期：EXPECTED_PENDING。区分整体可用与关键承诺缺失，评估部分退款并人工复核</x:v>
      </x:c>
      <x:c r="V25" s="20" t="str">
        <x:v>区分整体可用与关键承诺缺失，评估部分退款并人工复核</x:v>
      </x:c>
      <x:c r="W25" s="20" t="str">
        <x:v>PARTIAL_SERVICE_VALUE</x:v>
      </x:c>
      <x:c r="X25" s="20" t="str">
        <x:v>BUSINESS</x:v>
      </x:c>
      <x:c r="Y25" s="20" t="str">
        <x:v>CONFLICT_OR_WEAK_EVIDENCE</x:v>
      </x:c>
      <x:c r="Z25" s="20" t="str">
        <x:v>PARTIAL</x:v>
      </x:c>
      <x:c r="AA25" s="20" t="str">
        <x:v>区分整体可用与关键承诺缺失，评估部分退款并人工复核</x:v>
      </x:c>
      <x:c r="AB25" s="20" t="str">
        <x:v>区分整体可用与关键承诺缺失，评估部分退款并人工复核</x:v>
      </x:c>
      <x:c r="AC25" s="20" t="str">
        <x:v>SRC-MC</x:v>
      </x:c>
      <x:c r="AD25" s="20" t="str">
        <x:v>依据官方流程/证据原则构造；不是Oceanpayment真实规则或真实案件</x:v>
      </x:c>
      <x:c r="AE25" s="20" t="str">
        <x:v>pending</x:v>
      </x:c>
      <x:c r="AF25" s="20" t="str">
        <x:v>纯合成案例；金额、人物、订单与结果均不对应真实交易。</x:v>
      </x:c>
    </x:row>
    <x:row r="26" ht="66" customHeight="1">
      <x:c r="A26" s="20" t="str">
        <x:v>SYN-013</x:v>
      </x:c>
      <x:c r="B26" s="20" t="str">
        <x:v>两次授权但只捕获一次</x:v>
      </x:c>
      <x:c r="C26" s="20" t="str">
        <x:v>RULE_DERIVED_SYNTHETIC</x:v>
      </x:c>
      <x:c r="D26" s="20" t="str">
        <x:v>C-RULE-DERIVED</x:v>
      </x:c>
      <x:c r="E26" s="21" t="b">
        <x:v>1</x:v>
      </x:c>
      <x:c r="F26" s="20" t="str">
        <x:v>电商</x:v>
      </x:c>
      <x:c r="G26" s="20" t="str">
        <x:v>卡支付</x:v>
      </x:c>
      <x:c r="H26" s="20" t="str">
        <x:v>GLOBAL-SYNTHETIC</x:v>
      </x:c>
      <x:c r="I26" s="22" t="str"/>
      <x:c r="J26" s="20" t="str">
        <x:v>NOT_DISCLOSED</x:v>
      </x:c>
      <x:c r="K26" s="20" t="str">
        <x:v>NOT_DISCLOSED</x:v>
      </x:c>
      <x:c r="L26" s="20" t="str">
        <x:v>SYNTHETIC</x:v>
      </x:c>
      <x:c r="M26" s="20" t="str">
        <x:v>DUPLICATE_PROCESSING</x:v>
      </x:c>
      <x:c r="N26" s="20" t="str">
        <x:v>银行账单先显示两笔待入账，最终只有一笔完成</x:v>
      </x:c>
      <x:c r="O26" s="20" t="str">
        <x:v>商户按DUPLICATE_PROCESSING准备已有证据并等待人工决定</x:v>
      </x:c>
      <x:c r="P26" s="20" t="str">
        <x:v>银行账单先显示两笔待入账，最终只有一笔完成</x:v>
      </x:c>
      <x:c r="Q26" s="20" t="str">
        <x:v>SIMULATED_REVIEW</x:v>
      </x:c>
      <x:c r="R26" s="20" t="str">
        <x:v>EXPECTED_WON</x:v>
      </x:c>
      <x:c r="S26" s="20" t="str">
        <x:v>NOT_APPLICABLE</x:v>
      </x:c>
      <x:c r="T26" s="20" t="str">
        <x:v>SIMULATED_EXPECTATION</x:v>
      </x:c>
      <x:c r="U26" s="20" t="str">
        <x:v>模拟预期：EXPECTED_WON。授权冻结不是最终扣款；用授权/捕获状态解释并等待入账</x:v>
      </x:c>
      <x:c r="V26" s="20" t="str">
        <x:v>授权冻结不是最终扣款；用授权/捕获状态解释并等待入账</x:v>
      </x:c>
      <x:c r="W26" s="20" t="str">
        <x:v>DUPLICATE_AUTH_SINGLE_CAPTURE</x:v>
      </x:c>
      <x:c r="X26" s="20" t="str">
        <x:v>TECHNICAL_SUPPORT</x:v>
      </x:c>
      <x:c r="Y26" s="20" t="str">
        <x:v>POLICY_REVIEW</x:v>
      </x:c>
      <x:c r="Z26" s="20" t="str">
        <x:v>PARTIAL</x:v>
      </x:c>
      <x:c r="AA26" s="20" t="str">
        <x:v>授权冻结不是最终扣款；用授权/捕获状态解释并等待入账</x:v>
      </x:c>
      <x:c r="AB26" s="20" t="str">
        <x:v>授权冻结不是最终扣款；用授权/捕获状态解释并等待入账</x:v>
      </x:c>
      <x:c r="AC26" s="20" t="str">
        <x:v>SRC-AIRWALLEX</x:v>
      </x:c>
      <x:c r="AD26" s="20" t="str">
        <x:v>依据官方流程/证据原则构造；不是Oceanpayment真实规则或真实案件</x:v>
      </x:c>
      <x:c r="AE26" s="20" t="str">
        <x:v>won</x:v>
      </x:c>
      <x:c r="AF26" s="20" t="str">
        <x:v>纯合成案例；金额、人物、订单与结果均不对应真实交易。</x:v>
      </x:c>
    </x:row>
    <x:row r="27" ht="66" customHeight="1">
      <x:c r="A27" s="20" t="str">
        <x:v>SYN-014</x:v>
      </x:c>
      <x:c r="B27" s="20" t="str">
        <x:v>重试支付生成两笔捕获同一订单</x:v>
      </x:c>
      <x:c r="C27" s="20" t="str">
        <x:v>RULE_DERIVED_SYNTHETIC</x:v>
      </x:c>
      <x:c r="D27" s="20" t="str">
        <x:v>C-RULE-DERIVED</x:v>
      </x:c>
      <x:c r="E27" s="21" t="b">
        <x:v>1</x:v>
      </x:c>
      <x:c r="F27" s="20" t="str">
        <x:v>票务</x:v>
      </x:c>
      <x:c r="G27" s="20" t="str">
        <x:v>卡支付</x:v>
      </x:c>
      <x:c r="H27" s="20" t="str">
        <x:v>GLOBAL-SYNTHETIC</x:v>
      </x:c>
      <x:c r="I27" s="22" t="str"/>
      <x:c r="J27" s="20" t="str">
        <x:v>NOT_DISCLOSED</x:v>
      </x:c>
      <x:c r="K27" s="20" t="str">
        <x:v>NOT_DISCLOSED</x:v>
      </x:c>
      <x:c r="L27" s="20" t="str">
        <x:v>SYNTHETIC</x:v>
      </x:c>
      <x:c r="M27" s="20" t="str">
        <x:v>DUPLICATE_PROCESSING</x:v>
      </x:c>
      <x:c r="N27" s="20" t="str">
        <x:v>网络超时后客户端重试，服务端缺幂等键导致两笔成功捕获</x:v>
      </x:c>
      <x:c r="O27" s="20" t="str">
        <x:v>商户按DUPLICATE_PROCESSING准备已有证据并等待人工决定</x:v>
      </x:c>
      <x:c r="P27" s="20" t="str">
        <x:v>网络超时后客户端重试，服务端缺幂等键导致两笔成功捕获</x:v>
      </x:c>
      <x:c r="Q27" s="20" t="str">
        <x:v>SIMULATED_REVIEW</x:v>
      </x:c>
      <x:c r="R27" s="20" t="str">
        <x:v>EXPECTED_LOST</x:v>
      </x:c>
      <x:c r="S27" s="20" t="str">
        <x:v>NOT_APPLICABLE</x:v>
      </x:c>
      <x:c r="T27" s="20" t="str">
        <x:v>SIMULATED_EXPECTATION</x:v>
      </x:c>
      <x:c r="U27" s="20" t="str">
        <x:v>模拟预期：EXPECTED_LOST。确认真实重复后主动退一笔并停止申诉</x:v>
      </x:c>
      <x:c r="V27" s="20" t="str">
        <x:v>确认真实重复后主动退一笔并停止申诉</x:v>
      </x:c>
      <x:c r="W27" s="20" t="str">
        <x:v>TRUE_DUPLICATE_CAPTURE</x:v>
      </x:c>
      <x:c r="X27" s="20" t="str">
        <x:v>TECHNICAL_SUPPORT</x:v>
      </x:c>
      <x:c r="Y27" s="20" t="str">
        <x:v>CONFLICT_OR_WEAK_EVIDENCE</x:v>
      </x:c>
      <x:c r="Z27" s="20" t="str">
        <x:v>PARTIAL</x:v>
      </x:c>
      <x:c r="AA27" s="20" t="str">
        <x:v>确认真实重复后主动退一笔并停止申诉</x:v>
      </x:c>
      <x:c r="AB27" s="20" t="str">
        <x:v>确认真实重复后主动退一笔并停止申诉</x:v>
      </x:c>
      <x:c r="AC27" s="20" t="str">
        <x:v>SRC-AIRWALLEX</x:v>
      </x:c>
      <x:c r="AD27" s="20" t="str">
        <x:v>依据官方流程/证据原则构造；不是Oceanpayment真实规则或真实案件</x:v>
      </x:c>
      <x:c r="AE27" s="20" t="str">
        <x:v>lost</x:v>
      </x:c>
      <x:c r="AF27" s="20" t="str">
        <x:v>纯合成案例；金额、人物、订单与结果均不对应真实交易。</x:v>
      </x:c>
    </x:row>
    <x:row r="28" ht="66" customHeight="1">
      <x:c r="A28" s="20" t="str">
        <x:v>SYN-015</x:v>
      </x:c>
      <x:c r="B28" s="20" t="str">
        <x:v>同金额两笔但对应两张不同订单</x:v>
      </x:c>
      <x:c r="C28" s="20" t="str">
        <x:v>RULE_DERIVED_SYNTHETIC</x:v>
      </x:c>
      <x:c r="D28" s="20" t="str">
        <x:v>C-RULE-DERIVED</x:v>
      </x:c>
      <x:c r="E28" s="21" t="b">
        <x:v>1</x:v>
      </x:c>
      <x:c r="F28" s="20" t="str">
        <x:v>外卖</x:v>
      </x:c>
      <x:c r="G28" s="20" t="str">
        <x:v>实体服务</x:v>
      </x:c>
      <x:c r="H28" s="20" t="str">
        <x:v>GLOBAL-SYNTHETIC</x:v>
      </x:c>
      <x:c r="I28" s="22" t="str"/>
      <x:c r="J28" s="20" t="str">
        <x:v>NOT_DISCLOSED</x:v>
      </x:c>
      <x:c r="K28" s="20" t="str">
        <x:v>NOT_DISCLOSED</x:v>
      </x:c>
      <x:c r="L28" s="20" t="str">
        <x:v>SYNTHETIC</x:v>
      </x:c>
      <x:c r="M28" s="20" t="str">
        <x:v>DUPLICATE_PROCESSING</x:v>
      </x:c>
      <x:c r="N28" s="20" t="str">
        <x:v>同日同金额两笔，商品和收货时间不同</x:v>
      </x:c>
      <x:c r="O28" s="20" t="str">
        <x:v>商户按DUPLICATE_PROCESSING准备已有证据并等待人工决定</x:v>
      </x:c>
      <x:c r="P28" s="20" t="str">
        <x:v>同日同金额两笔，商品和收货时间不同</x:v>
      </x:c>
      <x:c r="Q28" s="20" t="str">
        <x:v>SIMULATED_REVIEW</x:v>
      </x:c>
      <x:c r="R28" s="20" t="str">
        <x:v>EXPECTED_WON</x:v>
      </x:c>
      <x:c r="S28" s="20" t="str">
        <x:v>NOT_APPLICABLE</x:v>
      </x:c>
      <x:c r="T28" s="20" t="str">
        <x:v>SIMULATED_EXPECTATION</x:v>
      </x:c>
      <x:c r="U28" s="20" t="str">
        <x:v>模拟预期：EXPECTED_WON。用订单内容、时间和履约分别证明，不只比较金额</x:v>
      </x:c>
      <x:c r="V28" s="20" t="str">
        <x:v>用订单内容、时间和履约分别证明，不只比较金额</x:v>
      </x:c>
      <x:c r="W28" s="20" t="str">
        <x:v>SAME_AMOUNT_DIFFERENT_ORDERS</x:v>
      </x:c>
      <x:c r="X28" s="20" t="str">
        <x:v>TECHNICAL_SUPPORT</x:v>
      </x:c>
      <x:c r="Y28" s="20" t="str">
        <x:v>POLICY_REVIEW</x:v>
      </x:c>
      <x:c r="Z28" s="20" t="str">
        <x:v>PARTIAL</x:v>
      </x:c>
      <x:c r="AA28" s="20" t="str">
        <x:v>用订单内容、时间和履约分别证明，不只比较金额</x:v>
      </x:c>
      <x:c r="AB28" s="20" t="str">
        <x:v>用订单内容、时间和履约分别证明，不只比较金额</x:v>
      </x:c>
      <x:c r="AC28" s="20" t="str">
        <x:v>SRC-AIRWALLEX</x:v>
      </x:c>
      <x:c r="AD28" s="20" t="str">
        <x:v>依据官方流程/证据原则构造；不是Oceanpayment真实规则或真实案件</x:v>
      </x:c>
      <x:c r="AE28" s="20" t="str">
        <x:v>won</x:v>
      </x:c>
      <x:c r="AF28" s="20" t="str">
        <x:v>纯合成案例；金额、人物、订单与结果均不对应真实交易。</x:v>
      </x:c>
    </x:row>
    <x:row r="29" ht="66" customHeight="1">
      <x:c r="A29" s="20" t="str">
        <x:v>SYN-016</x:v>
      </x:c>
      <x:c r="B29" s="20" t="str">
        <x:v>部分退款后消费者发起全额拒付</x:v>
      </x:c>
      <x:c r="C29" s="20" t="str">
        <x:v>RULE_DERIVED_SYNTHETIC</x:v>
      </x:c>
      <x:c r="D29" s="20" t="str">
        <x:v>C-RULE-DERIVED</x:v>
      </x:c>
      <x:c r="E29" s="21" t="b">
        <x:v>1</x:v>
      </x:c>
      <x:c r="F29" s="20" t="str">
        <x:v>电商</x:v>
      </x:c>
      <x:c r="G29" s="20" t="str">
        <x:v>实体商品</x:v>
      </x:c>
      <x:c r="H29" s="20" t="str">
        <x:v>GLOBAL-SYNTHETIC</x:v>
      </x:c>
      <x:c r="I29" s="22" t="str"/>
      <x:c r="J29" s="20" t="str">
        <x:v>NOT_DISCLOSED</x:v>
      </x:c>
      <x:c r="K29" s="20" t="str">
        <x:v>NOT_DISCLOSED</x:v>
      </x:c>
      <x:c r="L29" s="20" t="str">
        <x:v>SYNTHETIC</x:v>
      </x:c>
      <x:c r="M29" s="20" t="str">
        <x:v>CREDIT_NOT_PROCESSED</x:v>
      </x:c>
      <x:c r="N29" s="20" t="str">
        <x:v>商户已退30%，消费者仍对100%发起争议</x:v>
      </x:c>
      <x:c r="O29" s="20" t="str">
        <x:v>商户按CREDIT_NOT_PROCESSED准备已有证据并等待人工决定</x:v>
      </x:c>
      <x:c r="P29" s="20" t="str">
        <x:v>商户已退30%，消费者仍对100%发起争议</x:v>
      </x:c>
      <x:c r="Q29" s="20" t="str">
        <x:v>SIMULATED_REVIEW</x:v>
      </x:c>
      <x:c r="R29" s="20" t="str">
        <x:v>EXPECTED_PENDING</x:v>
      </x:c>
      <x:c r="S29" s="20" t="str">
        <x:v>NOT_APPLICABLE</x:v>
      </x:c>
      <x:c r="T29" s="20" t="str">
        <x:v>SIMULATED_EXPECTATION</x:v>
      </x:c>
      <x:c r="U29" s="20" t="str">
        <x:v>模拟预期：EXPECTED_PENDING。核对剩余争议金额，防止重复退款并提交部分退款凭证</x:v>
      </x:c>
      <x:c r="V29" s="20" t="str">
        <x:v>核对剩余争议金额，防止重复退款并提交部分退款凭证</x:v>
      </x:c>
      <x:c r="W29" s="20" t="str">
        <x:v>PARTIAL_REFUND_FULL_CHARGEBACK</x:v>
      </x:c>
      <x:c r="X29" s="20" t="str">
        <x:v>FINANCE</x:v>
      </x:c>
      <x:c r="Y29" s="20" t="str">
        <x:v>CONFLICT_OR_WEAK_EVIDENCE</x:v>
      </x:c>
      <x:c r="Z29" s="20" t="str">
        <x:v>PARTIAL</x:v>
      </x:c>
      <x:c r="AA29" s="20" t="str">
        <x:v>核对剩余争议金额，防止重复退款并提交部分退款凭证</x:v>
      </x:c>
      <x:c r="AB29" s="20" t="str">
        <x:v>核对剩余争议金额，防止重复退款并提交部分退款凭证</x:v>
      </x:c>
      <x:c r="AC29" s="20" t="str">
        <x:v>SRC-STRIPE-BEST</x:v>
      </x:c>
      <x:c r="AD29" s="20" t="str">
        <x:v>依据官方流程/证据原则构造；不是Oceanpayment真实规则或真实案件</x:v>
      </x:c>
      <x:c r="AE29" s="20" t="str">
        <x:v>pending</x:v>
      </x:c>
      <x:c r="AF29" s="20" t="str">
        <x:v>纯合成案例；金额、人物、订单与结果均不对应真实交易。</x:v>
      </x:c>
    </x:row>
    <x:row r="30" ht="66" customHeight="1">
      <x:c r="A30" s="20" t="str">
        <x:v>SYN-017</x:v>
      </x:c>
      <x:c r="B30" s="20" t="str">
        <x:v>退款与拒付同时在途造成双重赔付</x:v>
      </x:c>
      <x:c r="C30" s="20" t="str">
        <x:v>RULE_DERIVED_SYNTHETIC</x:v>
      </x:c>
      <x:c r="D30" s="20" t="str">
        <x:v>C-RULE-DERIVED</x:v>
      </x:c>
      <x:c r="E30" s="21" t="b">
        <x:v>1</x:v>
      </x:c>
      <x:c r="F30" s="20" t="str">
        <x:v>旅游</x:v>
      </x:c>
      <x:c r="G30" s="20" t="str">
        <x:v>旅行服务</x:v>
      </x:c>
      <x:c r="H30" s="20" t="str">
        <x:v>GLOBAL-SYNTHETIC</x:v>
      </x:c>
      <x:c r="I30" s="22" t="str"/>
      <x:c r="J30" s="20" t="str">
        <x:v>NOT_DISCLOSED</x:v>
      </x:c>
      <x:c r="K30" s="20" t="str">
        <x:v>NOT_DISCLOSED</x:v>
      </x:c>
      <x:c r="L30" s="20" t="str">
        <x:v>SYNTHETIC</x:v>
      </x:c>
      <x:c r="M30" s="20" t="str">
        <x:v>CREDIT_NOT_PROCESSED</x:v>
      </x:c>
      <x:c r="N30" s="20" t="str">
        <x:v>商户先发退款，隔日收到拒付；两条资金链同时处理中</x:v>
      </x:c>
      <x:c r="O30" s="20" t="str">
        <x:v>商户按CREDIT_NOT_PROCESSED准备已有证据并等待人工决定</x:v>
      </x:c>
      <x:c r="P30" s="20" t="str">
        <x:v>商户先发退款，隔日收到拒付；两条资金链同时处理中</x:v>
      </x:c>
      <x:c r="Q30" s="20" t="str">
        <x:v>SIMULATED_REVIEW</x:v>
      </x:c>
      <x:c r="R30" s="20" t="str">
        <x:v>EXPECTED_WON</x:v>
      </x:c>
      <x:c r="S30" s="20" t="str">
        <x:v>NOT_APPLICABLE</x:v>
      </x:c>
      <x:c r="T30" s="20" t="str">
        <x:v>SIMULATED_EXPECTATION</x:v>
      </x:c>
      <x:c r="U30" s="20" t="str">
        <x:v>模拟预期：EXPECTED_WON。冻结重复退款操作，关联原交易与退款ARN/状态，提示双重赔付风险</x:v>
      </x:c>
      <x:c r="V30" s="20" t="str">
        <x:v>冻结重复退款操作，关联原交易与退款ARN/状态，提示双重赔付风险</x:v>
      </x:c>
      <x:c r="W30" s="20" t="str">
        <x:v>REFUND_CHARGEBACK_COLLISION</x:v>
      </x:c>
      <x:c r="X30" s="20" t="str">
        <x:v>FINANCE</x:v>
      </x:c>
      <x:c r="Y30" s="20" t="str">
        <x:v>POLICY_REVIEW</x:v>
      </x:c>
      <x:c r="Z30" s="20" t="str">
        <x:v>PARTIAL</x:v>
      </x:c>
      <x:c r="AA30" s="20" t="str">
        <x:v>冻结重复退款操作，关联原交易与退款ARN/状态，提示双重赔付风险</x:v>
      </x:c>
      <x:c r="AB30" s="20" t="str">
        <x:v>冻结重复退款操作，关联原交易与退款ARN/状态，提示双重赔付风险</x:v>
      </x:c>
      <x:c r="AC30" s="20" t="str">
        <x:v>SRC-STRIPE-BEST</x:v>
      </x:c>
      <x:c r="AD30" s="20" t="str">
        <x:v>依据官方流程/证据原则构造；不是Oceanpayment真实规则或真实案件</x:v>
      </x:c>
      <x:c r="AE30" s="20" t="str">
        <x:v>won</x:v>
      </x:c>
      <x:c r="AF30" s="20" t="str">
        <x:v>纯合成案例；金额、人物、订单与结果均不对应真实交易。</x:v>
      </x:c>
    </x:row>
    <x:row r="31" ht="66" customHeight="1">
      <x:c r="A31" s="20" t="str">
        <x:v>SYN-018</x:v>
      </x:c>
      <x:c r="B31" s="20" t="str">
        <x:v>退款已发起但跨币种到账较慢</x:v>
      </x:c>
      <x:c r="C31" s="20" t="str">
        <x:v>RULE_DERIVED_SYNTHETIC</x:v>
      </x:c>
      <x:c r="D31" s="20" t="str">
        <x:v>C-RULE-DERIVED</x:v>
      </x:c>
      <x:c r="E31" s="21" t="b">
        <x:v>1</x:v>
      </x:c>
      <x:c r="F31" s="20" t="str">
        <x:v>跨境电商</x:v>
      </x:c>
      <x:c r="G31" s="20" t="str">
        <x:v>实体商品</x:v>
      </x:c>
      <x:c r="H31" s="20" t="str">
        <x:v>GLOBAL-SYNTHETIC</x:v>
      </x:c>
      <x:c r="I31" s="22" t="str"/>
      <x:c r="J31" s="20" t="str">
        <x:v>NOT_DISCLOSED</x:v>
      </x:c>
      <x:c r="K31" s="20" t="str">
        <x:v>NOT_DISCLOSED</x:v>
      </x:c>
      <x:c r="L31" s="20" t="str">
        <x:v>SYNTHETIC</x:v>
      </x:c>
      <x:c r="M31" s="20" t="str">
        <x:v>CREDIT_NOT_PROCESSED</x:v>
      </x:c>
      <x:c r="N31" s="20" t="str">
        <x:v>退款完成后消费者因汇率与到账延迟称未收到</x:v>
      </x:c>
      <x:c r="O31" s="20" t="str">
        <x:v>商户按CREDIT_NOT_PROCESSED准备已有证据并等待人工决定</x:v>
      </x:c>
      <x:c r="P31" s="20" t="str">
        <x:v>退款完成后消费者因汇率与到账延迟称未收到</x:v>
      </x:c>
      <x:c r="Q31" s="20" t="str">
        <x:v>SIMULATED_REVIEW</x:v>
      </x:c>
      <x:c r="R31" s="20" t="str">
        <x:v>EXPECTED_WON</x:v>
      </x:c>
      <x:c r="S31" s="20" t="str">
        <x:v>NOT_APPLICABLE</x:v>
      </x:c>
      <x:c r="T31" s="20" t="str">
        <x:v>SIMULATED_EXPECTATION</x:v>
      </x:c>
      <x:c r="U31" s="20" t="str">
        <x:v>模拟预期：EXPECTED_WON。解释退款路径与币种差异，提交可追踪退款记录而非只给内部截图</x:v>
      </x:c>
      <x:c r="V31" s="20" t="str">
        <x:v>解释退款路径与币种差异，提交可追踪退款记录而非只给内部截图</x:v>
      </x:c>
      <x:c r="W31" s="20" t="str">
        <x:v>FX_AND_POSTING_DELAY</x:v>
      </x:c>
      <x:c r="X31" s="20" t="str">
        <x:v>FINANCE</x:v>
      </x:c>
      <x:c r="Y31" s="20" t="str">
        <x:v>POLICY_REVIEW</x:v>
      </x:c>
      <x:c r="Z31" s="20" t="str">
        <x:v>PARTIAL</x:v>
      </x:c>
      <x:c r="AA31" s="20" t="str">
        <x:v>解释退款路径与币种差异，提交可追踪退款记录而非只给内部截图</x:v>
      </x:c>
      <x:c r="AB31" s="20" t="str">
        <x:v>解释退款路径与币种差异，提交可追踪退款记录而非只给内部截图</x:v>
      </x:c>
      <x:c r="AC31" s="20" t="str">
        <x:v>SRC-STRIPE-BEST</x:v>
      </x:c>
      <x:c r="AD31" s="20" t="str">
        <x:v>依据官方流程/证据原则构造；不是Oceanpayment真实规则或真实案件</x:v>
      </x:c>
      <x:c r="AE31" s="20" t="str">
        <x:v>won</x:v>
      </x:c>
      <x:c r="AF31" s="20" t="str">
        <x:v>纯合成案例；金额、人物、订单与结果均不对应真实交易。</x:v>
      </x:c>
    </x:row>
    <x:row r="32" ht="66" customHeight="1">
      <x:c r="A32" s="20" t="str">
        <x:v>SYN-019</x:v>
      </x:c>
      <x:c r="B32" s="20" t="str">
        <x:v>取消发生在续订扣款后一秒</x:v>
      </x:c>
      <x:c r="C32" s="20" t="str">
        <x:v>RULE_DERIVED_SYNTHETIC</x:v>
      </x:c>
      <x:c r="D32" s="20" t="str">
        <x:v>C-RULE-DERIVED</x:v>
      </x:c>
      <x:c r="E32" s="21" t="b">
        <x:v>1</x:v>
      </x:c>
      <x:c r="F32" s="20" t="str">
        <x:v>SaaS</x:v>
      </x:c>
      <x:c r="G32" s="20" t="str">
        <x:v>数字订阅</x:v>
      </x:c>
      <x:c r="H32" s="20" t="str">
        <x:v>GLOBAL-SYNTHETIC</x:v>
      </x:c>
      <x:c r="I32" s="22" t="str"/>
      <x:c r="J32" s="20" t="str">
        <x:v>NOT_DISCLOSED</x:v>
      </x:c>
      <x:c r="K32" s="20" t="str">
        <x:v>NOT_DISCLOSED</x:v>
      </x:c>
      <x:c r="L32" s="20" t="str">
        <x:v>SYNTHETIC</x:v>
      </x:c>
      <x:c r="M32" s="20" t="str">
        <x:v>SUBSCRIPTION_CANCELED</x:v>
      </x:c>
      <x:c r="N32" s="20" t="str">
        <x:v>系统扣款时间为10:00:00，取消提交为10:00:01</x:v>
      </x:c>
      <x:c r="O32" s="20" t="str">
        <x:v>商户按SUBSCRIPTION_CANCELED准备已有证据并等待人工决定</x:v>
      </x:c>
      <x:c r="P32" s="20" t="str">
        <x:v>系统扣款时间为10:00:00，取消提交为10:00:01</x:v>
      </x:c>
      <x:c r="Q32" s="20" t="str">
        <x:v>SIMULATED_REVIEW</x:v>
      </x:c>
      <x:c r="R32" s="20" t="str">
        <x:v>EXPECTED_WON</x:v>
      </x:c>
      <x:c r="S32" s="20" t="str">
        <x:v>NOT_APPLICABLE</x:v>
      </x:c>
      <x:c r="T32" s="20" t="str">
        <x:v>SIMULATED_EXPECTATION</x:v>
      </x:c>
      <x:c r="U32" s="20" t="str">
        <x:v>模拟预期：EXPECTED_WON。使用统一时区与服务器时间；同时检查条款是否清楚说明生效规则</x:v>
      </x:c>
      <x:c r="V32" s="20" t="str">
        <x:v>使用统一时区与服务器时间；同时检查条款是否清楚说明生效规则</x:v>
      </x:c>
      <x:c r="W32" s="20" t="str">
        <x:v>CANCELLATION_BOUNDARY</x:v>
      </x:c>
      <x:c r="X32" s="20" t="str">
        <x:v>CUSTOMER_SUPPORT</x:v>
      </x:c>
      <x:c r="Y32" s="20" t="str">
        <x:v>POLICY_REVIEW</x:v>
      </x:c>
      <x:c r="Z32" s="20" t="str">
        <x:v>PARTIAL</x:v>
      </x:c>
      <x:c r="AA32" s="20" t="str">
        <x:v>使用统一时区与服务器时间；同时检查条款是否清楚说明生效规则</x:v>
      </x:c>
      <x:c r="AB32" s="20" t="str">
        <x:v>使用统一时区与服务器时间；同时检查条款是否清楚说明生效规则</x:v>
      </x:c>
      <x:c r="AC32" s="20" t="str">
        <x:v>SRC-STRIPE-BEST</x:v>
      </x:c>
      <x:c r="AD32" s="20" t="str">
        <x:v>依据官方流程/证据原则构造；不是Oceanpayment真实规则或真实案件</x:v>
      </x:c>
      <x:c r="AE32" s="20" t="str">
        <x:v>won</x:v>
      </x:c>
      <x:c r="AF32" s="20" t="str">
        <x:v>纯合成案例；金额、人物、订单与结果均不对应真实交易。</x:v>
      </x:c>
    </x:row>
    <x:row r="33" ht="66" customHeight="1">
      <x:c r="A33" s="20" t="str">
        <x:v>SYN-020</x:v>
      </x:c>
      <x:c r="B33" s="20" t="str">
        <x:v>用户点取消但后台任务失败</x:v>
      </x:c>
      <x:c r="C33" s="20" t="str">
        <x:v>RULE_DERIVED_SYNTHETIC</x:v>
      </x:c>
      <x:c r="D33" s="20" t="str">
        <x:v>C-RULE-DERIVED</x:v>
      </x:c>
      <x:c r="E33" s="21" t="b">
        <x:v>1</x:v>
      </x:c>
      <x:c r="F33" s="20" t="str">
        <x:v>视频会员</x:v>
      </x:c>
      <x:c r="G33" s="20" t="str">
        <x:v>数字订阅</x:v>
      </x:c>
      <x:c r="H33" s="20" t="str">
        <x:v>GLOBAL-SYNTHETIC</x:v>
      </x:c>
      <x:c r="I33" s="22" t="str"/>
      <x:c r="J33" s="20" t="str">
        <x:v>NOT_DISCLOSED</x:v>
      </x:c>
      <x:c r="K33" s="20" t="str">
        <x:v>NOT_DISCLOSED</x:v>
      </x:c>
      <x:c r="L33" s="20" t="str">
        <x:v>SYNTHETIC</x:v>
      </x:c>
      <x:c r="M33" s="20" t="str">
        <x:v>SUBSCRIPTION_CANCELED</x:v>
      </x:c>
      <x:c r="N33" s="20" t="str">
        <x:v>前端显示取消成功，后台消息失败仍续费</x:v>
      </x:c>
      <x:c r="O33" s="20" t="str">
        <x:v>商户按SUBSCRIPTION_CANCELED准备已有证据并等待人工决定</x:v>
      </x:c>
      <x:c r="P33" s="20" t="str">
        <x:v>前端显示取消成功，后台消息失败仍续费</x:v>
      </x:c>
      <x:c r="Q33" s="20" t="str">
        <x:v>SIMULATED_REVIEW</x:v>
      </x:c>
      <x:c r="R33" s="20" t="str">
        <x:v>EXPECTED_LOST</x:v>
      </x:c>
      <x:c r="S33" s="20" t="str">
        <x:v>NOT_APPLICABLE</x:v>
      </x:c>
      <x:c r="T33" s="20" t="str">
        <x:v>SIMULATED_EXPECTATION</x:v>
      </x:c>
      <x:c r="U33" s="20" t="str">
        <x:v>模拟预期：EXPECTED_LOST。以用户看到的确认和审计日志为准，主动退款并修复状态一致性</x:v>
      </x:c>
      <x:c r="V33" s="20" t="str">
        <x:v>以用户看到的确认和审计日志为准，主动退款并修复状态一致性</x:v>
      </x:c>
      <x:c r="W33" s="20" t="str">
        <x:v>CANCELLATION_STATE_DIVERGENCE</x:v>
      </x:c>
      <x:c r="X33" s="20" t="str">
        <x:v>CUSTOMER_SUPPORT</x:v>
      </x:c>
      <x:c r="Y33" s="20" t="str">
        <x:v>CONFLICT_OR_WEAK_EVIDENCE</x:v>
      </x:c>
      <x:c r="Z33" s="20" t="str">
        <x:v>PARTIAL</x:v>
      </x:c>
      <x:c r="AA33" s="20" t="str">
        <x:v>以用户看到的确认和审计日志为准，主动退款并修复状态一致性</x:v>
      </x:c>
      <x:c r="AB33" s="20" t="str">
        <x:v>以用户看到的确认和审计日志为准，主动退款并修复状态一致性</x:v>
      </x:c>
      <x:c r="AC33" s="20" t="str">
        <x:v>SRC-STRIPE-BEST</x:v>
      </x:c>
      <x:c r="AD33" s="20" t="str">
        <x:v>依据官方流程/证据原则构造；不是Oceanpayment真实规则或真实案件</x:v>
      </x:c>
      <x:c r="AE33" s="20" t="str">
        <x:v>lost</x:v>
      </x:c>
      <x:c r="AF33" s="20" t="str">
        <x:v>纯合成案例；金额、人物、订单与结果均不对应真实交易。</x:v>
      </x:c>
    </x:row>
    <x:row r="34" ht="66" customHeight="1">
      <x:c r="A34" s="20" t="str">
        <x:v>SYN-021</x:v>
      </x:c>
      <x:c r="B34" s="20" t="str">
        <x:v>免费试用转付费提醒进入垃圾邮箱</x:v>
      </x:c>
      <x:c r="C34" s="20" t="str">
        <x:v>RULE_DERIVED_SYNTHETIC</x:v>
      </x:c>
      <x:c r="D34" s="20" t="str">
        <x:v>C-RULE-DERIVED</x:v>
      </x:c>
      <x:c r="E34" s="21" t="b">
        <x:v>1</x:v>
      </x:c>
      <x:c r="F34" s="20" t="str">
        <x:v>健身应用</x:v>
      </x:c>
      <x:c r="G34" s="20" t="str">
        <x:v>数字订阅</x:v>
      </x:c>
      <x:c r="H34" s="20" t="str">
        <x:v>GLOBAL-SYNTHETIC</x:v>
      </x:c>
      <x:c r="I34" s="22" t="str"/>
      <x:c r="J34" s="20" t="str">
        <x:v>NOT_DISCLOSED</x:v>
      </x:c>
      <x:c r="K34" s="20" t="str">
        <x:v>NOT_DISCLOSED</x:v>
      </x:c>
      <x:c r="L34" s="20" t="str">
        <x:v>SYNTHETIC</x:v>
      </x:c>
      <x:c r="M34" s="20" t="str">
        <x:v>SUBSCRIPTION_CANCELED</x:v>
      </x:c>
      <x:c r="N34" s="20" t="str">
        <x:v>用户未取消试用，条款明确转付费，提醒邮件未读</x:v>
      </x:c>
      <x:c r="O34" s="20" t="str">
        <x:v>商户按SUBSCRIPTION_CANCELED准备已有证据并等待人工决定</x:v>
      </x:c>
      <x:c r="P34" s="20" t="str">
        <x:v>用户未取消试用，条款明确转付费，提醒邮件未读</x:v>
      </x:c>
      <x:c r="Q34" s="20" t="str">
        <x:v>SIMULATED_REVIEW</x:v>
      </x:c>
      <x:c r="R34" s="20" t="str">
        <x:v>EXPECTED_WON</x:v>
      </x:c>
      <x:c r="S34" s="20" t="str">
        <x:v>NOT_APPLICABLE</x:v>
      </x:c>
      <x:c r="T34" s="20" t="str">
        <x:v>SIMULATED_EXPECTATION</x:v>
      </x:c>
      <x:c r="U34" s="20" t="str">
        <x:v>模拟预期：EXPECTED_WON。证明显著披露与同意；未读提醒本身不等于已取消</x:v>
      </x:c>
      <x:c r="V34" s="20" t="str">
        <x:v>证明显著披露与同意；未读提醒本身不等于已取消</x:v>
      </x:c>
      <x:c r="W34" s="20" t="str">
        <x:v>TRIAL_CONVERSION</x:v>
      </x:c>
      <x:c r="X34" s="20" t="str">
        <x:v>CUSTOMER_SUPPORT</x:v>
      </x:c>
      <x:c r="Y34" s="20" t="str">
        <x:v>POLICY_REVIEW</x:v>
      </x:c>
      <x:c r="Z34" s="20" t="str">
        <x:v>PARTIAL</x:v>
      </x:c>
      <x:c r="AA34" s="20" t="str">
        <x:v>证明显著披露与同意；未读提醒本身不等于已取消</x:v>
      </x:c>
      <x:c r="AB34" s="20" t="str">
        <x:v>证明显著披露与同意；未读提醒本身不等于已取消</x:v>
      </x:c>
      <x:c r="AC34" s="20" t="str">
        <x:v>SRC-STRIPE-BEST</x:v>
      </x:c>
      <x:c r="AD34" s="20" t="str">
        <x:v>依据官方流程/证据原则构造；不是Oceanpayment真实规则或真实案件</x:v>
      </x:c>
      <x:c r="AE34" s="20" t="str">
        <x:v>won</x:v>
      </x:c>
      <x:c r="AF34" s="20" t="str">
        <x:v>纯合成案例；金额、人物、订单与结果均不对应真实交易。</x:v>
      </x:c>
    </x:row>
    <x:row r="35" ht="66" customHeight="1">
      <x:c r="A35" s="20" t="str">
        <x:v>SYN-022</x:v>
      </x:c>
      <x:c r="B35" s="20" t="str">
        <x:v>离线交易在授权过期后捕获</x:v>
      </x:c>
      <x:c r="C35" s="20" t="str">
        <x:v>RULE_DERIVED_SYNTHETIC</x:v>
      </x:c>
      <x:c r="D35" s="20" t="str">
        <x:v>C-RULE-DERIVED</x:v>
      </x:c>
      <x:c r="E35" s="21" t="b">
        <x:v>1</x:v>
      </x:c>
      <x:c r="F35" s="20" t="str">
        <x:v>酒店</x:v>
      </x:c>
      <x:c r="G35" s="20" t="str">
        <x:v>预授权</x:v>
      </x:c>
      <x:c r="H35" s="20" t="str">
        <x:v>GLOBAL-SYNTHETIC</x:v>
      </x:c>
      <x:c r="I35" s="22" t="str"/>
      <x:c r="J35" s="20" t="str">
        <x:v>NOT_DISCLOSED</x:v>
      </x:c>
      <x:c r="K35" s="20" t="str">
        <x:v>NOT_DISCLOSED</x:v>
      </x:c>
      <x:c r="L35" s="20" t="str">
        <x:v>SYNTHETIC</x:v>
      </x:c>
      <x:c r="M35" s="20" t="str">
        <x:v>AUTHORIZATION_ERROR</x:v>
      </x:c>
      <x:c r="N35" s="20" t="str">
        <x:v>入住预授权已过期，酒店数日后以旧授权捕获</x:v>
      </x:c>
      <x:c r="O35" s="20" t="str">
        <x:v>商户按AUTHORIZATION_ERROR准备已有证据并等待人工决定</x:v>
      </x:c>
      <x:c r="P35" s="20" t="str">
        <x:v>入住预授权已过期，酒店数日后以旧授权捕获</x:v>
      </x:c>
      <x:c r="Q35" s="20" t="str">
        <x:v>SIMULATED_REVIEW</x:v>
      </x:c>
      <x:c r="R35" s="20" t="str">
        <x:v>EXPECTED_LOST</x:v>
      </x:c>
      <x:c r="S35" s="20" t="str">
        <x:v>NOT_APPLICABLE</x:v>
      </x:c>
      <x:c r="T35" s="20" t="str">
        <x:v>SIMULATED_EXPECTATION</x:v>
      </x:c>
      <x:c r="U35" s="20" t="str">
        <x:v>模拟预期：EXPECTED_LOST。核对授权有效期与捕获链；无法证明有效授权时不要硬申诉</x:v>
      </x:c>
      <x:c r="V35" s="20" t="str">
        <x:v>核对授权有效期与捕获链；无法证明有效授权时不要硬申诉</x:v>
      </x:c>
      <x:c r="W35" s="20" t="str">
        <x:v>EXPIRED_AUTH_CAPTURE</x:v>
      </x:c>
      <x:c r="X35" s="20" t="str">
        <x:v>PSP_SUPPORT</x:v>
      </x:c>
      <x:c r="Y35" s="20" t="str">
        <x:v>CONFLICT_OR_WEAK_EVIDENCE</x:v>
      </x:c>
      <x:c r="Z35" s="20" t="str">
        <x:v>PARTIAL</x:v>
      </x:c>
      <x:c r="AA35" s="20" t="str">
        <x:v>核对授权有效期与捕获链；无法证明有效授权时不要硬申诉</x:v>
      </x:c>
      <x:c r="AB35" s="20" t="str">
        <x:v>核对授权有效期与捕获链；无法证明有效授权时不要硬申诉</x:v>
      </x:c>
      <x:c r="AC35" s="20" t="str">
        <x:v>SRC-AIRWALLEX</x:v>
      </x:c>
      <x:c r="AD35" s="20" t="str">
        <x:v>依据官方流程/证据原则构造；不是Oceanpayment真实规则或真实案件</x:v>
      </x:c>
      <x:c r="AE35" s="20" t="str">
        <x:v>lost</x:v>
      </x:c>
      <x:c r="AF35" s="20" t="str">
        <x:v>纯合成案例；金额、人物、订单与结果均不对应真实交易。</x:v>
      </x:c>
    </x:row>
    <x:row r="36" ht="66" customHeight="1">
      <x:c r="A36" s="20" t="str">
        <x:v>SYN-023</x:v>
      </x:c>
      <x:c r="B36" s="20" t="str">
        <x:v>金额调整超过原授权容差</x:v>
      </x:c>
      <x:c r="C36" s="20" t="str">
        <x:v>RULE_DERIVED_SYNTHETIC</x:v>
      </x:c>
      <x:c r="D36" s="20" t="str">
        <x:v>C-RULE-DERIVED</x:v>
      </x:c>
      <x:c r="E36" s="21" t="b">
        <x:v>1</x:v>
      </x:c>
      <x:c r="F36" s="20" t="str">
        <x:v>租车</x:v>
      </x:c>
      <x:c r="G36" s="20" t="str">
        <x:v>增量授权</x:v>
      </x:c>
      <x:c r="H36" s="20" t="str">
        <x:v>GLOBAL-SYNTHETIC</x:v>
      </x:c>
      <x:c r="I36" s="22" t="str"/>
      <x:c r="J36" s="20" t="str">
        <x:v>NOT_DISCLOSED</x:v>
      </x:c>
      <x:c r="K36" s="20" t="str">
        <x:v>NOT_DISCLOSED</x:v>
      </x:c>
      <x:c r="L36" s="20" t="str">
        <x:v>SYNTHETIC</x:v>
      </x:c>
      <x:c r="M36" s="20" t="str">
        <x:v>AUTHORIZATION_ERROR</x:v>
      </x:c>
      <x:c r="N36" s="20" t="str">
        <x:v>最终扣款包含损坏费，未取得合规增量授权</x:v>
      </x:c>
      <x:c r="O36" s="20" t="str">
        <x:v>商户按AUTHORIZATION_ERROR准备已有证据并等待人工决定</x:v>
      </x:c>
      <x:c r="P36" s="20" t="str">
        <x:v>最终扣款包含损坏费，未取得合规增量授权</x:v>
      </x:c>
      <x:c r="Q36" s="20" t="str">
        <x:v>SIMULATED_REVIEW</x:v>
      </x:c>
      <x:c r="R36" s="20" t="str">
        <x:v>EXPECTED_LOST</x:v>
      </x:c>
      <x:c r="S36" s="20" t="str">
        <x:v>NOT_APPLICABLE</x:v>
      </x:c>
      <x:c r="T36" s="20" t="str">
        <x:v>SIMULATED_EXPECTATION</x:v>
      </x:c>
      <x:c r="U36" s="20" t="str">
        <x:v>模拟预期：EXPECTED_LOST。费用真实性与授权有效性是两件事；需补增量授权或接受争议</x:v>
      </x:c>
      <x:c r="V36" s="20" t="str">
        <x:v>费用真实性与授权有效性是两件事；需补增量授权或接受争议</x:v>
      </x:c>
      <x:c r="W36" s="20" t="str">
        <x:v>AMOUNT_ABOVE_AUTHORIZATION</x:v>
      </x:c>
      <x:c r="X36" s="20" t="str">
        <x:v>PSP_SUPPORT</x:v>
      </x:c>
      <x:c r="Y36" s="20" t="str">
        <x:v>CONFLICT_OR_WEAK_EVIDENCE</x:v>
      </x:c>
      <x:c r="Z36" s="20" t="str">
        <x:v>PARTIAL</x:v>
      </x:c>
      <x:c r="AA36" s="20" t="str">
        <x:v>费用真实性与授权有效性是两件事；需补增量授权或接受争议</x:v>
      </x:c>
      <x:c r="AB36" s="20" t="str">
        <x:v>费用真实性与授权有效性是两件事；需补增量授权或接受争议</x:v>
      </x:c>
      <x:c r="AC36" s="20" t="str">
        <x:v>SRC-AIRWALLEX</x:v>
      </x:c>
      <x:c r="AD36" s="20" t="str">
        <x:v>依据官方流程/证据原则构造；不是Oceanpayment真实规则或真实案件</x:v>
      </x:c>
      <x:c r="AE36" s="20" t="str">
        <x:v>lost</x:v>
      </x:c>
      <x:c r="AF36" s="20" t="str">
        <x:v>纯合成案例；金额、人物、订单与结果均不对应真实交易。</x:v>
      </x:c>
    </x:row>
    <x:row r="37" ht="66" customHeight="1">
      <x:c r="A37" s="20" t="str">
        <x:v>SYN-024</x:v>
      </x:c>
      <x:c r="B37" s="20" t="str">
        <x:v>客户撤诉但卡组织案件仍开放并晚反转</x:v>
      </x:c>
      <x:c r="C37" s="20" t="str">
        <x:v>RULE_DERIVED_SYNTHETIC</x:v>
      </x:c>
      <x:c r="D37" s="20" t="str">
        <x:v>C-RULE-DERIVED</x:v>
      </x:c>
      <x:c r="E37" s="21" t="b">
        <x:v>1</x:v>
      </x:c>
      <x:c r="F37" s="20" t="str">
        <x:v>电商</x:v>
      </x:c>
      <x:c r="G37" s="20" t="str">
        <x:v>卡支付</x:v>
      </x:c>
      <x:c r="H37" s="20" t="str">
        <x:v>GLOBAL-SYNTHETIC</x:v>
      </x:c>
      <x:c r="I37" s="22" t="str"/>
      <x:c r="J37" s="20" t="str">
        <x:v>NOT_DISCLOSED</x:v>
      </x:c>
      <x:c r="K37" s="20" t="str">
        <x:v>NOT_DISCLOSED</x:v>
      </x:c>
      <x:c r="L37" s="20" t="str">
        <x:v>SYNTHETIC</x:v>
      </x:c>
      <x:c r="M37" s="20" t="str">
        <x:v>AUTHORIZATION_ERROR</x:v>
      </x:c>
      <x:c r="N37" s="20" t="str">
        <x:v>消费者称已联系银行撤诉，商户后台先显示胜诉后又反转</x:v>
      </x:c>
      <x:c r="O37" s="20" t="str">
        <x:v>商户按AUTHORIZATION_ERROR准备已有证据并等待人工决定</x:v>
      </x:c>
      <x:c r="P37" s="20" t="str">
        <x:v>消费者称已联系银行撤诉，商户后台先显示胜诉后又反转</x:v>
      </x:c>
      <x:c r="Q37" s="20" t="str">
        <x:v>SIMULATED_REVIEW</x:v>
      </x:c>
      <x:c r="R37" s="20" t="str">
        <x:v>EXPECTED_PENDING</x:v>
      </x:c>
      <x:c r="S37" s="20" t="str">
        <x:v>NOT_APPLICABLE</x:v>
      </x:c>
      <x:c r="T37" s="20" t="str">
        <x:v>SIMULATED_EXPECTATION</x:v>
      </x:c>
      <x:c r="U37" s="20" t="str">
        <x:v>模拟预期：EXPECTED_PENDING。客户口头撤诉不等于案件关闭；以正式状态和资金入账为准并持续监控</x:v>
      </x:c>
      <x:c r="V37" s="20" t="str">
        <x:v>客户口头撤诉不等于案件关闭；以正式状态和资金入账为准并持续监控</x:v>
      </x:c>
      <x:c r="W37" s="20" t="str">
        <x:v>WITHDRAWAL_LATE_WIN_REVERSAL</x:v>
      </x:c>
      <x:c r="X37" s="20" t="str">
        <x:v>PSP_SUPPORT</x:v>
      </x:c>
      <x:c r="Y37" s="20" t="str">
        <x:v>CONFLICT_OR_WEAK_EVIDENCE</x:v>
      </x:c>
      <x:c r="Z37" s="20" t="str">
        <x:v>PARTIAL</x:v>
      </x:c>
      <x:c r="AA37" s="20" t="str">
        <x:v>客户口头撤诉不等于案件关闭；以正式状态和资金入账为准并持续监控</x:v>
      </x:c>
      <x:c r="AB37" s="20" t="str">
        <x:v>客户口头撤诉不等于案件关闭；以正式状态和资金入账为准并持续监控</x:v>
      </x:c>
      <x:c r="AC37" s="20" t="str">
        <x:v>SRC-AIRWALLEX</x:v>
      </x:c>
      <x:c r="AD37" s="20" t="str">
        <x:v>依据官方流程/证据原则构造；不是Oceanpayment真实规则或真实案件</x:v>
      </x:c>
      <x:c r="AE37" s="20" t="str">
        <x:v>pending</x:v>
      </x:c>
      <x:c r="AF37" s="20" t="str">
        <x:v>纯合成案例；金额、人物、订单与结果均不对应真实交易。</x:v>
      </x:c>
    </x:row>
  </x:sheetData>
  <x:pageMargins left="0.7" right="0.7" top="0.75" bottom="0.75" header="0.3" footer="0.3"/>
  <x:tableParts count="1">
    <x:tablePart xmlns:r="http://schemas.openxmlformats.org/officeDocument/2006/relationships" r:id="Ra1a48a1d94be43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6" hidden="0" customWidth="1"/>
    <x:col min="4" max="4" width="22" hidden="0" customWidth="1"/>
    <x:col min="5" max="5" width="50" hidden="0" customWidth="1"/>
    <x:col min="6" max="6" width="38" hidden="0" customWidth="1"/>
    <x:col min="7" max="7" width="28" hidden="0" customWidth="1"/>
    <x:col min="8" max="8" width="28" hidden="0" customWidth="1"/>
  </x:cols>
  <x:sheetData>
    <x:row r="1" ht="34" customHeight="1">
      <x:c r="A1" s="19" t="str">
        <x:v>case_id</x:v>
      </x:c>
      <x:c r="B1" s="19" t="str">
        <x:v>step_no</x:v>
      </x:c>
      <x:c r="C1" s="19" t="str">
        <x:v>phase</x:v>
      </x:c>
      <x:c r="D1" s="19" t="str">
        <x:v>owner</x:v>
      </x:c>
      <x:c r="E1" s="19" t="str">
        <x:v>action</x:v>
      </x:c>
      <x:c r="F1" s="19" t="str">
        <x:v>output</x:v>
      </x:c>
      <x:c r="G1" s="19" t="str">
        <x:v>deadline_rule</x:v>
      </x:c>
      <x:c r="H1" s="19" t="str">
        <x:v>escalation</x:v>
      </x:c>
    </x:row>
    <x:row r="2" ht="66" customHeight="1">
      <x:c r="A2" s="20" t="str">
        <x:v>PUB-001</x:v>
      </x:c>
      <x:c r="B2" s="23" t="n">
        <x:v>1</x:v>
      </x:c>
      <x:c r="C2" s="20" t="str">
        <x:v>INTAKE</x:v>
      </x:c>
      <x:c r="D2" s="20" t="str">
        <x:v>PSP_SUPPORT</x:v>
      </x:c>
      <x:c r="E2" s="20" t="str">
        <x:v>接收争议通知，记录金额、理由、截止时间与资金状态</x:v>
      </x:c>
      <x:c r="F2" s="20" t="str">
        <x:v>案件主键与截止时间已建立</x:v>
      </x:c>
      <x:c r="G2" s="20" t="str">
        <x:v>以实际通知为准；示例不声明统一时限</x:v>
      </x:c>
      <x:c r="H2" s="20" t="str"/>
    </x:row>
    <x:row r="3" ht="66" customHeight="1">
      <x:c r="A3" s="20" t="str">
        <x:v>PUB-001</x:v>
      </x:c>
      <x:c r="B3" s="23" t="n">
        <x:v>2</x:v>
      </x:c>
      <x:c r="C3" s="20" t="str">
        <x:v>CLASSIFY</x:v>
      </x:c>
      <x:c r="D3" s="20" t="str">
        <x:v>RISK</x:v>
      </x:c>
      <x:c r="E3" s="20" t="str">
        <x:v>核对持卡人主张、交易事实与理由族，识别是否选错理由</x:v>
      </x:c>
      <x:c r="F3" s="20" t="str">
        <x:v>理由族已确认或转人工</x:v>
      </x:c>
      <x:c r="G3" s="20" t="str">
        <x:v>继承案件截止时间</x:v>
      </x:c>
      <x:c r="H3" s="20" t="str"/>
    </x:row>
    <x:row r="4" ht="66" customHeight="1">
      <x:c r="A4" s="20" t="str">
        <x:v>PUB-001</x:v>
      </x:c>
      <x:c r="B4" s="23" t="n">
        <x:v>3</x:v>
      </x:c>
      <x:c r="C4" s="20" t="str">
        <x:v>COLLECT</x:v>
      </x:c>
      <x:c r="D4" s="20" t="str">
        <x:v>RISK</x:v>
      </x:c>
      <x:c r="E4" s="20" t="str">
        <x:v>按清单向商户/内部团队补证，并标记来源、时间和矛盾</x:v>
      </x:c>
      <x:c r="F4" s="20" t="str">
        <x:v>证据存在性与缺失项已登记</x:v>
      </x:c>
      <x:c r="G4" s="20" t="str">
        <x:v>继承案件截止时间</x:v>
      </x:c>
      <x:c r="H4" s="20" t="str"/>
    </x:row>
    <x:row r="5" ht="66" customHeight="1">
      <x:c r="A5" s="20" t="str">
        <x:v>PUB-001</x:v>
      </x:c>
      <x:c r="B5" s="23" t="n">
        <x:v>4</x:v>
      </x:c>
      <x:c r="C5" s="20" t="str">
        <x:v>REVIEW</x:v>
      </x:c>
      <x:c r="D5" s="20" t="str">
        <x:v>RISK</x:v>
      </x:c>
      <x:c r="E5" s="20" t="str">
        <x:v>检查证据相关性、真实性、格式、页数、金额和时限</x:v>
      </x:c>
      <x:c r="F5" s="20" t="str">
        <x:v>形成接受/申诉/升级建议</x:v>
      </x:c>
      <x:c r="G5" s="20" t="str">
        <x:v>继承案件截止时间</x:v>
      </x:c>
      <x:c r="H5" s="20" t="str">
        <x:v>PUBLIC_CASE_NOT_IMPORTABLE</x:v>
      </x:c>
    </x:row>
    <x:row r="6" ht="66" customHeight="1">
      <x:c r="A6" s="20" t="str">
        <x:v>PUB-001</x:v>
      </x:c>
      <x:c r="B6" s="23" t="n">
        <x:v>5</x:v>
      </x:c>
      <x:c r="C6" s="20" t="str">
        <x:v>DECIDE</x:v>
      </x:c>
      <x:c r="D6" s="20" t="str">
        <x:v>RISK</x:v>
      </x:c>
      <x:c r="E6" s="20" t="str">
        <x:v>人工确认后决定是否提交申诉</x:v>
      </x:c>
      <x:c r="F6" s="20" t="str">
        <x:v>保留人工决定与理由</x:v>
      </x:c>
      <x:c r="G6" s="20" t="str">
        <x:v>继承案件截止时间</x:v>
      </x:c>
      <x:c r="H6" s="20" t="str"/>
    </x:row>
    <x:row r="7" ht="66" customHeight="1">
      <x:c r="A7" s="20" t="str">
        <x:v>PUB-001</x:v>
      </x:c>
      <x:c r="B7" s="23" t="n">
        <x:v>6</x:v>
      </x:c>
      <x:c r="C7" s="20" t="str">
        <x:v>PACKAGE</x:v>
      </x:c>
      <x:c r="D7" s="20" t="str">
        <x:v>PSP_SUPPORT</x:v>
      </x:c>
      <x:c r="E7" s="20" t="str">
        <x:v>按事实时间线打包，去除敏感信息，不把无关材料堆入证据包</x:v>
      </x:c>
      <x:c r="F7" s="20" t="str">
        <x:v>证据包可读、可追溯、格式合规</x:v>
      </x:c>
      <x:c r="G7" s="20" t="str">
        <x:v>继承案件截止时间</x:v>
      </x:c>
      <x:c r="H7" s="20" t="str"/>
    </x:row>
    <x:row r="8" ht="66" customHeight="1">
      <x:c r="A8" s="20" t="str">
        <x:v>PUB-001</x:v>
      </x:c>
      <x:c r="B8" s="23" t="n">
        <x:v>7</x:v>
      </x:c>
      <x:c r="C8" s="20" t="str">
        <x:v>OUTCOME</x:v>
      </x:c>
      <x:c r="D8" s="20" t="str">
        <x:v>FINANCE</x:v>
      </x:c>
      <x:c r="E8" s="20" t="str">
        <x:v>记录拒付结果=MERCHANT_PREVAILED；裁决结果=COMPLAINT_NOT_UPHELD，并核对临时贷记/退款/再扣款</x:v>
      </x:c>
      <x:c r="F8" s="20" t="str">
        <x:v>结果层级与资金状态分开落库</x:v>
      </x:c>
      <x:c r="G8" s="20" t="str">
        <x:v>继承案件截止时间</x:v>
      </x:c>
      <x:c r="H8" s="20" t="str"/>
    </x:row>
    <x:row r="9" ht="66" customHeight="1">
      <x:c r="A9" s="20" t="str">
        <x:v>PUB-002</x:v>
      </x:c>
      <x:c r="B9" s="23" t="n">
        <x:v>1</x:v>
      </x:c>
      <x:c r="C9" s="20" t="str">
        <x:v>INTAKE</x:v>
      </x:c>
      <x:c r="D9" s="20" t="str">
        <x:v>PSP_SUPPORT</x:v>
      </x:c>
      <x:c r="E9" s="20" t="str">
        <x:v>接收争议通知，记录金额、理由、截止时间与资金状态</x:v>
      </x:c>
      <x:c r="F9" s="20" t="str">
        <x:v>案件主键与截止时间已建立</x:v>
      </x:c>
      <x:c r="G9" s="20" t="str">
        <x:v>以实际通知为准；示例不声明统一时限</x:v>
      </x:c>
      <x:c r="H9" s="20" t="str"/>
    </x:row>
    <x:row r="10" ht="66" customHeight="1">
      <x:c r="A10" s="20" t="str">
        <x:v>PUB-002</x:v>
      </x:c>
      <x:c r="B10" s="23" t="n">
        <x:v>2</x:v>
      </x:c>
      <x:c r="C10" s="20" t="str">
        <x:v>CLASSIFY</x:v>
      </x:c>
      <x:c r="D10" s="20" t="str">
        <x:v>CUSTOMER_SUPPORT</x:v>
      </x:c>
      <x:c r="E10" s="20" t="str">
        <x:v>核对持卡人主张、交易事实与理由族，识别是否选错理由</x:v>
      </x:c>
      <x:c r="F10" s="20" t="str">
        <x:v>理由族已确认或转人工</x:v>
      </x:c>
      <x:c r="G10" s="20" t="str">
        <x:v>继承案件截止时间</x:v>
      </x:c>
      <x:c r="H10" s="20" t="str"/>
    </x:row>
    <x:row r="11" ht="66" customHeight="1">
      <x:c r="A11" s="20" t="str">
        <x:v>PUB-002</x:v>
      </x:c>
      <x:c r="B11" s="23" t="n">
        <x:v>3</x:v>
      </x:c>
      <x:c r="C11" s="20" t="str">
        <x:v>COLLECT</x:v>
      </x:c>
      <x:c r="D11" s="20" t="str">
        <x:v>CUSTOMER_SUPPORT</x:v>
      </x:c>
      <x:c r="E11" s="20" t="str">
        <x:v>按清单向商户/内部团队补证，并标记来源、时间和矛盾</x:v>
      </x:c>
      <x:c r="F11" s="20" t="str">
        <x:v>证据存在性与缺失项已登记</x:v>
      </x:c>
      <x:c r="G11" s="20" t="str">
        <x:v>继承案件截止时间</x:v>
      </x:c>
      <x:c r="H11" s="20" t="str"/>
    </x:row>
    <x:row r="12" ht="66" customHeight="1">
      <x:c r="A12" s="20" t="str">
        <x:v>PUB-002</x:v>
      </x:c>
      <x:c r="B12" s="23" t="n">
        <x:v>4</x:v>
      </x:c>
      <x:c r="C12" s="20" t="str">
        <x:v>REVIEW</x:v>
      </x:c>
      <x:c r="D12" s="20" t="str">
        <x:v>RISK</x:v>
      </x:c>
      <x:c r="E12" s="20" t="str">
        <x:v>检查证据相关性、真实性、格式、页数、金额和时限</x:v>
      </x:c>
      <x:c r="F12" s="20" t="str">
        <x:v>形成接受/申诉/升级建议</x:v>
      </x:c>
      <x:c r="G12" s="20" t="str">
        <x:v>继承案件截止时间</x:v>
      </x:c>
      <x:c r="H12" s="20" t="str">
        <x:v>PUBLIC_CASE_NOT_IMPORTABLE</x:v>
      </x:c>
    </x:row>
    <x:row r="13" ht="66" customHeight="1">
      <x:c r="A13" s="20" t="str">
        <x:v>PUB-002</x:v>
      </x:c>
      <x:c r="B13" s="23" t="n">
        <x:v>5</x:v>
      </x:c>
      <x:c r="C13" s="20" t="str">
        <x:v>DECIDE</x:v>
      </x:c>
      <x:c r="D13" s="20" t="str">
        <x:v>CUSTOMER_SUPPORT</x:v>
      </x:c>
      <x:c r="E13" s="20" t="str">
        <x:v>人工确认后决定是否提交申诉</x:v>
      </x:c>
      <x:c r="F13" s="20" t="str">
        <x:v>保留人工决定与理由</x:v>
      </x:c>
      <x:c r="G13" s="20" t="str">
        <x:v>继承案件截止时间</x:v>
      </x:c>
      <x:c r="H13" s="20" t="str"/>
    </x:row>
    <x:row r="14" ht="66" customHeight="1">
      <x:c r="A14" s="20" t="str">
        <x:v>PUB-002</x:v>
      </x:c>
      <x:c r="B14" s="23" t="n">
        <x:v>6</x:v>
      </x:c>
      <x:c r="C14" s="20" t="str">
        <x:v>PACKAGE</x:v>
      </x:c>
      <x:c r="D14" s="20" t="str">
        <x:v>PSP_SUPPORT</x:v>
      </x:c>
      <x:c r="E14" s="20" t="str">
        <x:v>按事实时间线打包，去除敏感信息，不把无关材料堆入证据包</x:v>
      </x:c>
      <x:c r="F14" s="20" t="str">
        <x:v>证据包可读、可追溯、格式合规</x:v>
      </x:c>
      <x:c r="G14" s="20" t="str">
        <x:v>继承案件截止时间</x:v>
      </x:c>
      <x:c r="H14" s="20" t="str"/>
    </x:row>
    <x:row r="15" ht="66" customHeight="1">
      <x:c r="A15" s="20" t="str">
        <x:v>PUB-002</x:v>
      </x:c>
      <x:c r="B15" s="23" t="n">
        <x:v>7</x:v>
      </x:c>
      <x:c r="C15" s="20" t="str">
        <x:v>OUTCOME</x:v>
      </x:c>
      <x:c r="D15" s="20" t="str">
        <x:v>FINANCE</x:v>
      </x:c>
      <x:c r="E15" s="20" t="str">
        <x:v>记录拒付结果=NOT_RAISED；裁决结果=COMPLAINT_NOT_UPHELD，并核对临时贷记/退款/再扣款</x:v>
      </x:c>
      <x:c r="F15" s="20" t="str">
        <x:v>结果层级与资金状态分开落库</x:v>
      </x:c>
      <x:c r="G15" s="20" t="str">
        <x:v>继承案件截止时间</x:v>
      </x:c>
      <x:c r="H15" s="20" t="str"/>
    </x:row>
    <x:row r="16" ht="66" customHeight="1">
      <x:c r="A16" s="20" t="str">
        <x:v>PUB-003</x:v>
      </x:c>
      <x:c r="B16" s="23" t="n">
        <x:v>1</x:v>
      </x:c>
      <x:c r="C16" s="20" t="str">
        <x:v>INTAKE</x:v>
      </x:c>
      <x:c r="D16" s="20" t="str">
        <x:v>PSP_SUPPORT</x:v>
      </x:c>
      <x:c r="E16" s="20" t="str">
        <x:v>接收争议通知，记录金额、理由、截止时间与资金状态</x:v>
      </x:c>
      <x:c r="F16" s="20" t="str">
        <x:v>案件主键与截止时间已建立</x:v>
      </x:c>
      <x:c r="G16" s="20" t="str">
        <x:v>以实际通知为准；示例不声明统一时限</x:v>
      </x:c>
      <x:c r="H16" s="20" t="str"/>
    </x:row>
    <x:row r="17" ht="66" customHeight="1">
      <x:c r="A17" s="20" t="str">
        <x:v>PUB-003</x:v>
      </x:c>
      <x:c r="B17" s="23" t="n">
        <x:v>2</x:v>
      </x:c>
      <x:c r="C17" s="20" t="str">
        <x:v>CLASSIFY</x:v>
      </x:c>
      <x:c r="D17" s="20" t="str">
        <x:v>CUSTOMER_SUPPORT</x:v>
      </x:c>
      <x:c r="E17" s="20" t="str">
        <x:v>核对持卡人主张、交易事实与理由族，识别是否选错理由</x:v>
      </x:c>
      <x:c r="F17" s="20" t="str">
        <x:v>理由族已确认或转人工</x:v>
      </x:c>
      <x:c r="G17" s="20" t="str">
        <x:v>继承案件截止时间</x:v>
      </x:c>
      <x:c r="H17" s="20" t="str"/>
    </x:row>
    <x:row r="18" ht="66" customHeight="1">
      <x:c r="A18" s="20" t="str">
        <x:v>PUB-003</x:v>
      </x:c>
      <x:c r="B18" s="23" t="n">
        <x:v>3</x:v>
      </x:c>
      <x:c r="C18" s="20" t="str">
        <x:v>COLLECT</x:v>
      </x:c>
      <x:c r="D18" s="20" t="str">
        <x:v>CUSTOMER_SUPPORT</x:v>
      </x:c>
      <x:c r="E18" s="20" t="str">
        <x:v>按清单向商户/内部团队补证，并标记来源、时间和矛盾</x:v>
      </x:c>
      <x:c r="F18" s="20" t="str">
        <x:v>证据存在性与缺失项已登记</x:v>
      </x:c>
      <x:c r="G18" s="20" t="str">
        <x:v>继承案件截止时间</x:v>
      </x:c>
      <x:c r="H18" s="20" t="str"/>
    </x:row>
    <x:row r="19" ht="66" customHeight="1">
      <x:c r="A19" s="20" t="str">
        <x:v>PUB-003</x:v>
      </x:c>
      <x:c r="B19" s="23" t="n">
        <x:v>4</x:v>
      </x:c>
      <x:c r="C19" s="20" t="str">
        <x:v>REVIEW</x:v>
      </x:c>
      <x:c r="D19" s="20" t="str">
        <x:v>RISK</x:v>
      </x:c>
      <x:c r="E19" s="20" t="str">
        <x:v>检查证据相关性、真实性、格式、页数、金额和时限</x:v>
      </x:c>
      <x:c r="F19" s="20" t="str">
        <x:v>形成接受/申诉/升级建议</x:v>
      </x:c>
      <x:c r="G19" s="20" t="str">
        <x:v>继承案件截止时间</x:v>
      </x:c>
      <x:c r="H19" s="20" t="str">
        <x:v>PUBLIC_CASE_NOT_IMPORTABLE</x:v>
      </x:c>
    </x:row>
    <x:row r="20" ht="66" customHeight="1">
      <x:c r="A20" s="20" t="str">
        <x:v>PUB-003</x:v>
      </x:c>
      <x:c r="B20" s="23" t="n">
        <x:v>5</x:v>
      </x:c>
      <x:c r="C20" s="20" t="str">
        <x:v>DECIDE</x:v>
      </x:c>
      <x:c r="D20" s="20" t="str">
        <x:v>CUSTOMER_SUPPORT</x:v>
      </x:c>
      <x:c r="E20" s="20" t="str">
        <x:v>人工确认后决定是否提交申诉</x:v>
      </x:c>
      <x:c r="F20" s="20" t="str">
        <x:v>保留人工决定与理由</x:v>
      </x:c>
      <x:c r="G20" s="20" t="str">
        <x:v>继承案件截止时间</x:v>
      </x:c>
      <x:c r="H20" s="20" t="str"/>
    </x:row>
    <x:row r="21" ht="66" customHeight="1">
      <x:c r="A21" s="20" t="str">
        <x:v>PUB-003</x:v>
      </x:c>
      <x:c r="B21" s="23" t="n">
        <x:v>6</x:v>
      </x:c>
      <x:c r="C21" s="20" t="str">
        <x:v>PACKAGE</x:v>
      </x:c>
      <x:c r="D21" s="20" t="str">
        <x:v>PSP_SUPPORT</x:v>
      </x:c>
      <x:c r="E21" s="20" t="str">
        <x:v>按事实时间线打包，去除敏感信息，不把无关材料堆入证据包</x:v>
      </x:c>
      <x:c r="F21" s="20" t="str">
        <x:v>证据包可读、可追溯、格式合规</x:v>
      </x:c>
      <x:c r="G21" s="20" t="str">
        <x:v>继承案件截止时间</x:v>
      </x:c>
      <x:c r="H21" s="20" t="str"/>
    </x:row>
    <x:row r="22" ht="66" customHeight="1">
      <x:c r="A22" s="20" t="str">
        <x:v>PUB-003</x:v>
      </x:c>
      <x:c r="B22" s="23" t="n">
        <x:v>7</x:v>
      </x:c>
      <x:c r="C22" s="20" t="str">
        <x:v>OUTCOME</x:v>
      </x:c>
      <x:c r="D22" s="20" t="str">
        <x:v>FINANCE</x:v>
      </x:c>
      <x:c r="E22" s="20" t="str">
        <x:v>记录拒付结果=DISCONTINUED；裁决结果=COMPLAINT_UPHELD，并核对临时贷记/退款/再扣款</x:v>
      </x:c>
      <x:c r="F22" s="20" t="str">
        <x:v>结果层级与资金状态分开落库</x:v>
      </x:c>
      <x:c r="G22" s="20" t="str">
        <x:v>继承案件截止时间</x:v>
      </x:c>
      <x:c r="H22" s="20" t="str"/>
    </x:row>
    <x:row r="23" ht="66" customHeight="1">
      <x:c r="A23" s="20" t="str">
        <x:v>PUB-004</x:v>
      </x:c>
      <x:c r="B23" s="23" t="n">
        <x:v>1</x:v>
      </x:c>
      <x:c r="C23" s="20" t="str">
        <x:v>INTAKE</x:v>
      </x:c>
      <x:c r="D23" s="20" t="str">
        <x:v>PSP_SUPPORT</x:v>
      </x:c>
      <x:c r="E23" s="20" t="str">
        <x:v>接收争议通知，记录金额、理由、截止时间与资金状态</x:v>
      </x:c>
      <x:c r="F23" s="20" t="str">
        <x:v>案件主键与截止时间已建立</x:v>
      </x:c>
      <x:c r="G23" s="20" t="str">
        <x:v>以实际通知为准；示例不声明统一时限</x:v>
      </x:c>
      <x:c r="H23" s="20" t="str"/>
    </x:row>
    <x:row r="24" ht="66" customHeight="1">
      <x:c r="A24" s="20" t="str">
        <x:v>PUB-004</x:v>
      </x:c>
      <x:c r="B24" s="23" t="n">
        <x:v>2</x:v>
      </x:c>
      <x:c r="C24" s="20" t="str">
        <x:v>CLASSIFY</x:v>
      </x:c>
      <x:c r="D24" s="20" t="str">
        <x:v>CUSTOMER_SUPPORT</x:v>
      </x:c>
      <x:c r="E24" s="20" t="str">
        <x:v>核对持卡人主张、交易事实与理由族，识别是否选错理由</x:v>
      </x:c>
      <x:c r="F24" s="20" t="str">
        <x:v>理由族已确认或转人工</x:v>
      </x:c>
      <x:c r="G24" s="20" t="str">
        <x:v>继承案件截止时间</x:v>
      </x:c>
      <x:c r="H24" s="20" t="str"/>
    </x:row>
    <x:row r="25" ht="66" customHeight="1">
      <x:c r="A25" s="20" t="str">
        <x:v>PUB-004</x:v>
      </x:c>
      <x:c r="B25" s="23" t="n">
        <x:v>3</x:v>
      </x:c>
      <x:c r="C25" s="20" t="str">
        <x:v>COLLECT</x:v>
      </x:c>
      <x:c r="D25" s="20" t="str">
        <x:v>CUSTOMER_SUPPORT</x:v>
      </x:c>
      <x:c r="E25" s="20" t="str">
        <x:v>按清单向商户/内部团队补证，并标记来源、时间和矛盾</x:v>
      </x:c>
      <x:c r="F25" s="20" t="str">
        <x:v>证据存在性与缺失项已登记</x:v>
      </x:c>
      <x:c r="G25" s="20" t="str">
        <x:v>继承案件截止时间</x:v>
      </x:c>
      <x:c r="H25" s="20" t="str"/>
    </x:row>
    <x:row r="26" ht="66" customHeight="1">
      <x:c r="A26" s="20" t="str">
        <x:v>PUB-004</x:v>
      </x:c>
      <x:c r="B26" s="23" t="n">
        <x:v>4</x:v>
      </x:c>
      <x:c r="C26" s="20" t="str">
        <x:v>REVIEW</x:v>
      </x:c>
      <x:c r="D26" s="20" t="str">
        <x:v>RISK</x:v>
      </x:c>
      <x:c r="E26" s="20" t="str">
        <x:v>检查证据相关性、真实性、格式、页数、金额和时限</x:v>
      </x:c>
      <x:c r="F26" s="20" t="str">
        <x:v>形成接受/申诉/升级建议</x:v>
      </x:c>
      <x:c r="G26" s="20" t="str">
        <x:v>继承案件截止时间</x:v>
      </x:c>
      <x:c r="H26" s="20" t="str">
        <x:v>PUBLIC_CASE_NOT_IMPORTABLE</x:v>
      </x:c>
    </x:row>
    <x:row r="27" ht="66" customHeight="1">
      <x:c r="A27" s="20" t="str">
        <x:v>PUB-004</x:v>
      </x:c>
      <x:c r="B27" s="23" t="n">
        <x:v>5</x:v>
      </x:c>
      <x:c r="C27" s="20" t="str">
        <x:v>DECIDE</x:v>
      </x:c>
      <x:c r="D27" s="20" t="str">
        <x:v>CUSTOMER_SUPPORT</x:v>
      </x:c>
      <x:c r="E27" s="20" t="str">
        <x:v>人工确认后决定是否提交申诉</x:v>
      </x:c>
      <x:c r="F27" s="20" t="str">
        <x:v>保留人工决定与理由</x:v>
      </x:c>
      <x:c r="G27" s="20" t="str">
        <x:v>继承案件截止时间</x:v>
      </x:c>
      <x:c r="H27" s="20" t="str"/>
    </x:row>
    <x:row r="28" ht="66" customHeight="1">
      <x:c r="A28" s="20" t="str">
        <x:v>PUB-004</x:v>
      </x:c>
      <x:c r="B28" s="23" t="n">
        <x:v>6</x:v>
      </x:c>
      <x:c r="C28" s="20" t="str">
        <x:v>PACKAGE</x:v>
      </x:c>
      <x:c r="D28" s="20" t="str">
        <x:v>PSP_SUPPORT</x:v>
      </x:c>
      <x:c r="E28" s="20" t="str">
        <x:v>按事实时间线打包，去除敏感信息，不把无关材料堆入证据包</x:v>
      </x:c>
      <x:c r="F28" s="20" t="str">
        <x:v>证据包可读、可追溯、格式合规</x:v>
      </x:c>
      <x:c r="G28" s="20" t="str">
        <x:v>继承案件截止时间</x:v>
      </x:c>
      <x:c r="H28" s="20" t="str"/>
    </x:row>
    <x:row r="29" ht="66" customHeight="1">
      <x:c r="A29" s="20" t="str">
        <x:v>PUB-004</x:v>
      </x:c>
      <x:c r="B29" s="23" t="n">
        <x:v>7</x:v>
      </x:c>
      <x:c r="C29" s="20" t="str">
        <x:v>OUTCOME</x:v>
      </x:c>
      <x:c r="D29" s="20" t="str">
        <x:v>FINANCE</x:v>
      </x:c>
      <x:c r="E29" s="20" t="str">
        <x:v>记录拒付结果=MERCHANT_PREVAILED；裁决结果=COMPLAINT_UPHELD，并核对临时贷记/退款/再扣款</x:v>
      </x:c>
      <x:c r="F29" s="20" t="str">
        <x:v>结果层级与资金状态分开落库</x:v>
      </x:c>
      <x:c r="G29" s="20" t="str">
        <x:v>继承案件截止时间</x:v>
      </x:c>
      <x:c r="H29" s="20" t="str"/>
    </x:row>
    <x:row r="30" ht="66" customHeight="1">
      <x:c r="A30" s="20" t="str">
        <x:v>PUB-005</x:v>
      </x:c>
      <x:c r="B30" s="23" t="n">
        <x:v>1</x:v>
      </x:c>
      <x:c r="C30" s="20" t="str">
        <x:v>INTAKE</x:v>
      </x:c>
      <x:c r="D30" s="20" t="str">
        <x:v>PSP_SUPPORT</x:v>
      </x:c>
      <x:c r="E30" s="20" t="str">
        <x:v>接收争议通知，记录金额、理由、截止时间与资金状态</x:v>
      </x:c>
      <x:c r="F30" s="20" t="str">
        <x:v>案件主键与截止时间已建立</x:v>
      </x:c>
      <x:c r="G30" s="20" t="str">
        <x:v>以实际通知为准；示例不声明统一时限</x:v>
      </x:c>
      <x:c r="H30" s="20" t="str"/>
    </x:row>
    <x:row r="31" ht="66" customHeight="1">
      <x:c r="A31" s="20" t="str">
        <x:v>PUB-005</x:v>
      </x:c>
      <x:c r="B31" s="23" t="n">
        <x:v>2</x:v>
      </x:c>
      <x:c r="C31" s="20" t="str">
        <x:v>CLASSIFY</x:v>
      </x:c>
      <x:c r="D31" s="20" t="str">
        <x:v>BUSINESS</x:v>
      </x:c>
      <x:c r="E31" s="20" t="str">
        <x:v>核对持卡人主张、交易事实与理由族，识别是否选错理由</x:v>
      </x:c>
      <x:c r="F31" s="20" t="str">
        <x:v>理由族已确认或转人工</x:v>
      </x:c>
      <x:c r="G31" s="20" t="str">
        <x:v>继承案件截止时间</x:v>
      </x:c>
      <x:c r="H31" s="20" t="str"/>
    </x:row>
    <x:row r="32" ht="66" customHeight="1">
      <x:c r="A32" s="20" t="str">
        <x:v>PUB-005</x:v>
      </x:c>
      <x:c r="B32" s="23" t="n">
        <x:v>3</x:v>
      </x:c>
      <x:c r="C32" s="20" t="str">
        <x:v>COLLECT</x:v>
      </x:c>
      <x:c r="D32" s="20" t="str">
        <x:v>BUSINESS</x:v>
      </x:c>
      <x:c r="E32" s="20" t="str">
        <x:v>按清单向商户/内部团队补证，并标记来源、时间和矛盾</x:v>
      </x:c>
      <x:c r="F32" s="20" t="str">
        <x:v>证据存在性与缺失项已登记</x:v>
      </x:c>
      <x:c r="G32" s="20" t="str">
        <x:v>继承案件截止时间</x:v>
      </x:c>
      <x:c r="H32" s="20" t="str"/>
    </x:row>
    <x:row r="33" ht="66" customHeight="1">
      <x:c r="A33" s="20" t="str">
        <x:v>PUB-005</x:v>
      </x:c>
      <x:c r="B33" s="23" t="n">
        <x:v>4</x:v>
      </x:c>
      <x:c r="C33" s="20" t="str">
        <x:v>REVIEW</x:v>
      </x:c>
      <x:c r="D33" s="20" t="str">
        <x:v>RISK</x:v>
      </x:c>
      <x:c r="E33" s="20" t="str">
        <x:v>检查证据相关性、真实性、格式、页数、金额和时限</x:v>
      </x:c>
      <x:c r="F33" s="20" t="str">
        <x:v>形成接受/申诉/升级建议</x:v>
      </x:c>
      <x:c r="G33" s="20" t="str">
        <x:v>继承案件截止时间</x:v>
      </x:c>
      <x:c r="H33" s="20" t="str">
        <x:v>PUBLIC_CASE_NOT_IMPORTABLE</x:v>
      </x:c>
    </x:row>
    <x:row r="34" ht="66" customHeight="1">
      <x:c r="A34" s="20" t="str">
        <x:v>PUB-005</x:v>
      </x:c>
      <x:c r="B34" s="23" t="n">
        <x:v>5</x:v>
      </x:c>
      <x:c r="C34" s="20" t="str">
        <x:v>DECIDE</x:v>
      </x:c>
      <x:c r="D34" s="20" t="str">
        <x:v>BUSINESS</x:v>
      </x:c>
      <x:c r="E34" s="20" t="str">
        <x:v>人工确认后决定是否提交申诉</x:v>
      </x:c>
      <x:c r="F34" s="20" t="str">
        <x:v>保留人工决定与理由</x:v>
      </x:c>
      <x:c r="G34" s="20" t="str">
        <x:v>继承案件截止时间</x:v>
      </x:c>
      <x:c r="H34" s="20" t="str"/>
    </x:row>
    <x:row r="35" ht="66" customHeight="1">
      <x:c r="A35" s="20" t="str">
        <x:v>PUB-005</x:v>
      </x:c>
      <x:c r="B35" s="23" t="n">
        <x:v>6</x:v>
      </x:c>
      <x:c r="C35" s="20" t="str">
        <x:v>PACKAGE</x:v>
      </x:c>
      <x:c r="D35" s="20" t="str">
        <x:v>PSP_SUPPORT</x:v>
      </x:c>
      <x:c r="E35" s="20" t="str">
        <x:v>按事实时间线打包，去除敏感信息，不把无关材料堆入证据包</x:v>
      </x:c>
      <x:c r="F35" s="20" t="str">
        <x:v>证据包可读、可追溯、格式合规</x:v>
      </x:c>
      <x:c r="G35" s="20" t="str">
        <x:v>继承案件截止时间</x:v>
      </x:c>
      <x:c r="H35" s="20" t="str"/>
    </x:row>
    <x:row r="36" ht="66" customHeight="1">
      <x:c r="A36" s="20" t="str">
        <x:v>PUB-005</x:v>
      </x:c>
      <x:c r="B36" s="23" t="n">
        <x:v>7</x:v>
      </x:c>
      <x:c r="C36" s="20" t="str">
        <x:v>OUTCOME</x:v>
      </x:c>
      <x:c r="D36" s="20" t="str">
        <x:v>FINANCE</x:v>
      </x:c>
      <x:c r="E36" s="20" t="str">
        <x:v>记录拒付结果=NOT_PURSUED；裁决结果=COMPLAINT_NOT_UPHELD，并核对临时贷记/退款/再扣款</x:v>
      </x:c>
      <x:c r="F36" s="20" t="str">
        <x:v>结果层级与资金状态分开落库</x:v>
      </x:c>
      <x:c r="G36" s="20" t="str">
        <x:v>继承案件截止时间</x:v>
      </x:c>
      <x:c r="H36" s="20" t="str"/>
    </x:row>
    <x:row r="37" ht="66" customHeight="1">
      <x:c r="A37" s="20" t="str">
        <x:v>PUB-006</x:v>
      </x:c>
      <x:c r="B37" s="23" t="n">
        <x:v>1</x:v>
      </x:c>
      <x:c r="C37" s="20" t="str">
        <x:v>INTAKE</x:v>
      </x:c>
      <x:c r="D37" s="20" t="str">
        <x:v>PSP_SUPPORT</x:v>
      </x:c>
      <x:c r="E37" s="20" t="str">
        <x:v>接收争议通知，记录金额、理由、截止时间与资金状态</x:v>
      </x:c>
      <x:c r="F37" s="20" t="str">
        <x:v>案件主键与截止时间已建立</x:v>
      </x:c>
      <x:c r="G37" s="20" t="str">
        <x:v>以实际通知为准；示例不声明统一时限</x:v>
      </x:c>
      <x:c r="H37" s="20" t="str"/>
    </x:row>
    <x:row r="38" ht="66" customHeight="1">
      <x:c r="A38" s="20" t="str">
        <x:v>PUB-006</x:v>
      </x:c>
      <x:c r="B38" s="23" t="n">
        <x:v>2</x:v>
      </x:c>
      <x:c r="C38" s="20" t="str">
        <x:v>CLASSIFY</x:v>
      </x:c>
      <x:c r="D38" s="20" t="str">
        <x:v>CUSTOMER_SUPPORT</x:v>
      </x:c>
      <x:c r="E38" s="20" t="str">
        <x:v>核对持卡人主张、交易事实与理由族，识别是否选错理由</x:v>
      </x:c>
      <x:c r="F38" s="20" t="str">
        <x:v>理由族已确认或转人工</x:v>
      </x:c>
      <x:c r="G38" s="20" t="str">
        <x:v>继承案件截止时间</x:v>
      </x:c>
      <x:c r="H38" s="20" t="str"/>
    </x:row>
    <x:row r="39" ht="66" customHeight="1">
      <x:c r="A39" s="20" t="str">
        <x:v>PUB-006</x:v>
      </x:c>
      <x:c r="B39" s="23" t="n">
        <x:v>3</x:v>
      </x:c>
      <x:c r="C39" s="20" t="str">
        <x:v>COLLECT</x:v>
      </x:c>
      <x:c r="D39" s="20" t="str">
        <x:v>CUSTOMER_SUPPORT</x:v>
      </x:c>
      <x:c r="E39" s="20" t="str">
        <x:v>按清单向商户/内部团队补证，并标记来源、时间和矛盾</x:v>
      </x:c>
      <x:c r="F39" s="20" t="str">
        <x:v>证据存在性与缺失项已登记</x:v>
      </x:c>
      <x:c r="G39" s="20" t="str">
        <x:v>继承案件截止时间</x:v>
      </x:c>
      <x:c r="H39" s="20" t="str"/>
    </x:row>
    <x:row r="40" ht="66" customHeight="1">
      <x:c r="A40" s="20" t="str">
        <x:v>PUB-006</x:v>
      </x:c>
      <x:c r="B40" s="23" t="n">
        <x:v>4</x:v>
      </x:c>
      <x:c r="C40" s="20" t="str">
        <x:v>REVIEW</x:v>
      </x:c>
      <x:c r="D40" s="20" t="str">
        <x:v>RISK</x:v>
      </x:c>
      <x:c r="E40" s="20" t="str">
        <x:v>检查证据相关性、真实性、格式、页数、金额和时限</x:v>
      </x:c>
      <x:c r="F40" s="20" t="str">
        <x:v>形成接受/申诉/升级建议</x:v>
      </x:c>
      <x:c r="G40" s="20" t="str">
        <x:v>继承案件截止时间</x:v>
      </x:c>
      <x:c r="H40" s="20" t="str">
        <x:v>PUBLIC_CASE_NOT_IMPORTABLE</x:v>
      </x:c>
    </x:row>
    <x:row r="41" ht="66" customHeight="1">
      <x:c r="A41" s="20" t="str">
        <x:v>PUB-006</x:v>
      </x:c>
      <x:c r="B41" s="23" t="n">
        <x:v>5</x:v>
      </x:c>
      <x:c r="C41" s="20" t="str">
        <x:v>DECIDE</x:v>
      </x:c>
      <x:c r="D41" s="20" t="str">
        <x:v>CUSTOMER_SUPPORT</x:v>
      </x:c>
      <x:c r="E41" s="20" t="str">
        <x:v>人工确认后决定是否提交申诉</x:v>
      </x:c>
      <x:c r="F41" s="20" t="str">
        <x:v>保留人工决定与理由</x:v>
      </x:c>
      <x:c r="G41" s="20" t="str">
        <x:v>继承案件截止时间</x:v>
      </x:c>
      <x:c r="H41" s="20" t="str"/>
    </x:row>
    <x:row r="42" ht="66" customHeight="1">
      <x:c r="A42" s="20" t="str">
        <x:v>PUB-006</x:v>
      </x:c>
      <x:c r="B42" s="23" t="n">
        <x:v>6</x:v>
      </x:c>
      <x:c r="C42" s="20" t="str">
        <x:v>PACKAGE</x:v>
      </x:c>
      <x:c r="D42" s="20" t="str">
        <x:v>PSP_SUPPORT</x:v>
      </x:c>
      <x:c r="E42" s="20" t="str">
        <x:v>按事实时间线打包，去除敏感信息，不把无关材料堆入证据包</x:v>
      </x:c>
      <x:c r="F42" s="20" t="str">
        <x:v>证据包可读、可追溯、格式合规</x:v>
      </x:c>
      <x:c r="G42" s="20" t="str">
        <x:v>继承案件截止时间</x:v>
      </x:c>
      <x:c r="H42" s="20" t="str"/>
    </x:row>
    <x:row r="43" ht="66" customHeight="1">
      <x:c r="A43" s="20" t="str">
        <x:v>PUB-006</x:v>
      </x:c>
      <x:c r="B43" s="23" t="n">
        <x:v>7</x:v>
      </x:c>
      <x:c r="C43" s="20" t="str">
        <x:v>OUTCOME</x:v>
      </x:c>
      <x:c r="D43" s="20" t="str">
        <x:v>FINANCE</x:v>
      </x:c>
      <x:c r="E43" s="20" t="str">
        <x:v>记录拒付结果=MERCHANT_PREVAILED；裁决结果=COMPLAINT_NOT_UPHELD，并核对临时贷记/退款/再扣款</x:v>
      </x:c>
      <x:c r="F43" s="20" t="str">
        <x:v>结果层级与资金状态分开落库</x:v>
      </x:c>
      <x:c r="G43" s="20" t="str">
        <x:v>继承案件截止时间</x:v>
      </x:c>
      <x:c r="H43" s="20" t="str"/>
    </x:row>
    <x:row r="44" ht="66" customHeight="1">
      <x:c r="A44" s="20" t="str">
        <x:v>PUB-007</x:v>
      </x:c>
      <x:c r="B44" s="23" t="n">
        <x:v>1</x:v>
      </x:c>
      <x:c r="C44" s="20" t="str">
        <x:v>INTAKE</x:v>
      </x:c>
      <x:c r="D44" s="20" t="str">
        <x:v>PSP_SUPPORT</x:v>
      </x:c>
      <x:c r="E44" s="20" t="str">
        <x:v>接收争议通知，记录金额、理由、截止时间与资金状态</x:v>
      </x:c>
      <x:c r="F44" s="20" t="str">
        <x:v>案件主键与截止时间已建立</x:v>
      </x:c>
      <x:c r="G44" s="20" t="str">
        <x:v>以实际通知为准；示例不声明统一时限</x:v>
      </x:c>
      <x:c r="H44" s="20" t="str"/>
    </x:row>
    <x:row r="45" ht="66" customHeight="1">
      <x:c r="A45" s="20" t="str">
        <x:v>PUB-007</x:v>
      </x:c>
      <x:c r="B45" s="23" t="n">
        <x:v>2</x:v>
      </x:c>
      <x:c r="C45" s="20" t="str">
        <x:v>CLASSIFY</x:v>
      </x:c>
      <x:c r="D45" s="20" t="str">
        <x:v>CUSTOMER_SUPPORT</x:v>
      </x:c>
      <x:c r="E45" s="20" t="str">
        <x:v>核对持卡人主张、交易事实与理由族，识别是否选错理由</x:v>
      </x:c>
      <x:c r="F45" s="20" t="str">
        <x:v>理由族已确认或转人工</x:v>
      </x:c>
      <x:c r="G45" s="20" t="str">
        <x:v>继承案件截止时间</x:v>
      </x:c>
      <x:c r="H45" s="20" t="str"/>
    </x:row>
    <x:row r="46" ht="66" customHeight="1">
      <x:c r="A46" s="20" t="str">
        <x:v>PUB-007</x:v>
      </x:c>
      <x:c r="B46" s="23" t="n">
        <x:v>3</x:v>
      </x:c>
      <x:c r="C46" s="20" t="str">
        <x:v>COLLECT</x:v>
      </x:c>
      <x:c r="D46" s="20" t="str">
        <x:v>CUSTOMER_SUPPORT</x:v>
      </x:c>
      <x:c r="E46" s="20" t="str">
        <x:v>按清单向商户/内部团队补证，并标记来源、时间和矛盾</x:v>
      </x:c>
      <x:c r="F46" s="20" t="str">
        <x:v>证据存在性与缺失项已登记</x:v>
      </x:c>
      <x:c r="G46" s="20" t="str">
        <x:v>继承案件截止时间</x:v>
      </x:c>
      <x:c r="H46" s="20" t="str"/>
    </x:row>
    <x:row r="47" ht="66" customHeight="1">
      <x:c r="A47" s="20" t="str">
        <x:v>PUB-007</x:v>
      </x:c>
      <x:c r="B47" s="23" t="n">
        <x:v>4</x:v>
      </x:c>
      <x:c r="C47" s="20" t="str">
        <x:v>REVIEW</x:v>
      </x:c>
      <x:c r="D47" s="20" t="str">
        <x:v>RISK</x:v>
      </x:c>
      <x:c r="E47" s="20" t="str">
        <x:v>检查证据相关性、真实性、格式、页数、金额和时限</x:v>
      </x:c>
      <x:c r="F47" s="20" t="str">
        <x:v>形成接受/申诉/升级建议</x:v>
      </x:c>
      <x:c r="G47" s="20" t="str">
        <x:v>继承案件截止时间</x:v>
      </x:c>
      <x:c r="H47" s="20" t="str">
        <x:v>PUBLIC_CASE_NOT_IMPORTABLE</x:v>
      </x:c>
    </x:row>
    <x:row r="48" ht="66" customHeight="1">
      <x:c r="A48" s="20" t="str">
        <x:v>PUB-007</x:v>
      </x:c>
      <x:c r="B48" s="23" t="n">
        <x:v>5</x:v>
      </x:c>
      <x:c r="C48" s="20" t="str">
        <x:v>DECIDE</x:v>
      </x:c>
      <x:c r="D48" s="20" t="str">
        <x:v>CUSTOMER_SUPPORT</x:v>
      </x:c>
      <x:c r="E48" s="20" t="str">
        <x:v>人工确认后决定是否提交申诉</x:v>
      </x:c>
      <x:c r="F48" s="20" t="str">
        <x:v>保留人工决定与理由</x:v>
      </x:c>
      <x:c r="G48" s="20" t="str">
        <x:v>继承案件截止时间</x:v>
      </x:c>
      <x:c r="H48" s="20" t="str"/>
    </x:row>
    <x:row r="49" ht="66" customHeight="1">
      <x:c r="A49" s="20" t="str">
        <x:v>PUB-007</x:v>
      </x:c>
      <x:c r="B49" s="23" t="n">
        <x:v>6</x:v>
      </x:c>
      <x:c r="C49" s="20" t="str">
        <x:v>PACKAGE</x:v>
      </x:c>
      <x:c r="D49" s="20" t="str">
        <x:v>PSP_SUPPORT</x:v>
      </x:c>
      <x:c r="E49" s="20" t="str">
        <x:v>按事实时间线打包，去除敏感信息，不把无关材料堆入证据包</x:v>
      </x:c>
      <x:c r="F49" s="20" t="str">
        <x:v>证据包可读、可追溯、格式合规</x:v>
      </x:c>
      <x:c r="G49" s="20" t="str">
        <x:v>继承案件截止时间</x:v>
      </x:c>
      <x:c r="H49" s="20" t="str"/>
    </x:row>
    <x:row r="50" ht="66" customHeight="1">
      <x:c r="A50" s="20" t="str">
        <x:v>PUB-007</x:v>
      </x:c>
      <x:c r="B50" s="23" t="n">
        <x:v>7</x:v>
      </x:c>
      <x:c r="C50" s="20" t="str">
        <x:v>OUTCOME</x:v>
      </x:c>
      <x:c r="D50" s="20" t="str">
        <x:v>FINANCE</x:v>
      </x:c>
      <x:c r="E50" s="20" t="str">
        <x:v>记录拒付结果=MERCHANT_PREVAILED；裁决结果=COMPLAINT_NOT_UPHELD，并核对临时贷记/退款/再扣款</x:v>
      </x:c>
      <x:c r="F50" s="20" t="str">
        <x:v>结果层级与资金状态分开落库</x:v>
      </x:c>
      <x:c r="G50" s="20" t="str">
        <x:v>继承案件截止时间</x:v>
      </x:c>
      <x:c r="H50" s="20" t="str"/>
    </x:row>
    <x:row r="51" ht="66" customHeight="1">
      <x:c r="A51" s="20" t="str">
        <x:v>PUB-008</x:v>
      </x:c>
      <x:c r="B51" s="23" t="n">
        <x:v>1</x:v>
      </x:c>
      <x:c r="C51" s="20" t="str">
        <x:v>INTAKE</x:v>
      </x:c>
      <x:c r="D51" s="20" t="str">
        <x:v>PSP_SUPPORT</x:v>
      </x:c>
      <x:c r="E51" s="20" t="str">
        <x:v>接收争议通知，记录金额、理由、截止时间与资金状态</x:v>
      </x:c>
      <x:c r="F51" s="20" t="str">
        <x:v>案件主键与截止时间已建立</x:v>
      </x:c>
      <x:c r="G51" s="20" t="str">
        <x:v>以实际通知为准；示例不声明统一时限</x:v>
      </x:c>
      <x:c r="H51" s="20" t="str"/>
    </x:row>
    <x:row r="52" ht="66" customHeight="1">
      <x:c r="A52" s="20" t="str">
        <x:v>PUB-008</x:v>
      </x:c>
      <x:c r="B52" s="23" t="n">
        <x:v>2</x:v>
      </x:c>
      <x:c r="C52" s="20" t="str">
        <x:v>CLASSIFY</x:v>
      </x:c>
      <x:c r="D52" s="20" t="str">
        <x:v>CUSTOMER_SUPPORT</x:v>
      </x:c>
      <x:c r="E52" s="20" t="str">
        <x:v>核对持卡人主张、交易事实与理由族，识别是否选错理由</x:v>
      </x:c>
      <x:c r="F52" s="20" t="str">
        <x:v>理由族已确认或转人工</x:v>
      </x:c>
      <x:c r="G52" s="20" t="str">
        <x:v>继承案件截止时间</x:v>
      </x:c>
      <x:c r="H52" s="20" t="str"/>
    </x:row>
    <x:row r="53" ht="66" customHeight="1">
      <x:c r="A53" s="20" t="str">
        <x:v>PUB-008</x:v>
      </x:c>
      <x:c r="B53" s="23" t="n">
        <x:v>3</x:v>
      </x:c>
      <x:c r="C53" s="20" t="str">
        <x:v>COLLECT</x:v>
      </x:c>
      <x:c r="D53" s="20" t="str">
        <x:v>CUSTOMER_SUPPORT</x:v>
      </x:c>
      <x:c r="E53" s="20" t="str">
        <x:v>按清单向商户/内部团队补证，并标记来源、时间和矛盾</x:v>
      </x:c>
      <x:c r="F53" s="20" t="str">
        <x:v>证据存在性与缺失项已登记</x:v>
      </x:c>
      <x:c r="G53" s="20" t="str">
        <x:v>继承案件截止时间</x:v>
      </x:c>
      <x:c r="H53" s="20" t="str"/>
    </x:row>
    <x:row r="54" ht="66" customHeight="1">
      <x:c r="A54" s="20" t="str">
        <x:v>PUB-008</x:v>
      </x:c>
      <x:c r="B54" s="23" t="n">
        <x:v>4</x:v>
      </x:c>
      <x:c r="C54" s="20" t="str">
        <x:v>REVIEW</x:v>
      </x:c>
      <x:c r="D54" s="20" t="str">
        <x:v>RISK</x:v>
      </x:c>
      <x:c r="E54" s="20" t="str">
        <x:v>检查证据相关性、真实性、格式、页数、金额和时限</x:v>
      </x:c>
      <x:c r="F54" s="20" t="str">
        <x:v>形成接受/申诉/升级建议</x:v>
      </x:c>
      <x:c r="G54" s="20" t="str">
        <x:v>继承案件截止时间</x:v>
      </x:c>
      <x:c r="H54" s="20" t="str">
        <x:v>PUBLIC_CASE_NOT_IMPORTABLE</x:v>
      </x:c>
    </x:row>
    <x:row r="55" ht="66" customHeight="1">
      <x:c r="A55" s="20" t="str">
        <x:v>PUB-008</x:v>
      </x:c>
      <x:c r="B55" s="23" t="n">
        <x:v>5</x:v>
      </x:c>
      <x:c r="C55" s="20" t="str">
        <x:v>DECIDE</x:v>
      </x:c>
      <x:c r="D55" s="20" t="str">
        <x:v>CUSTOMER_SUPPORT</x:v>
      </x:c>
      <x:c r="E55" s="20" t="str">
        <x:v>人工确认后决定是否提交申诉</x:v>
      </x:c>
      <x:c r="F55" s="20" t="str">
        <x:v>保留人工决定与理由</x:v>
      </x:c>
      <x:c r="G55" s="20" t="str">
        <x:v>继承案件截止时间</x:v>
      </x:c>
      <x:c r="H55" s="20" t="str"/>
    </x:row>
    <x:row r="56" ht="66" customHeight="1">
      <x:c r="A56" s="20" t="str">
        <x:v>PUB-008</x:v>
      </x:c>
      <x:c r="B56" s="23" t="n">
        <x:v>6</x:v>
      </x:c>
      <x:c r="C56" s="20" t="str">
        <x:v>PACKAGE</x:v>
      </x:c>
      <x:c r="D56" s="20" t="str">
        <x:v>PSP_SUPPORT</x:v>
      </x:c>
      <x:c r="E56" s="20" t="str">
        <x:v>按事实时间线打包，去除敏感信息，不把无关材料堆入证据包</x:v>
      </x:c>
      <x:c r="F56" s="20" t="str">
        <x:v>证据包可读、可追溯、格式合规</x:v>
      </x:c>
      <x:c r="G56" s="20" t="str">
        <x:v>继承案件截止时间</x:v>
      </x:c>
      <x:c r="H56" s="20" t="str"/>
    </x:row>
    <x:row r="57" ht="66" customHeight="1">
      <x:c r="A57" s="20" t="str">
        <x:v>PUB-008</x:v>
      </x:c>
      <x:c r="B57" s="23" t="n">
        <x:v>7</x:v>
      </x:c>
      <x:c r="C57" s="20" t="str">
        <x:v>OUTCOME</x:v>
      </x:c>
      <x:c r="D57" s="20" t="str">
        <x:v>FINANCE</x:v>
      </x:c>
      <x:c r="E57" s="20" t="str">
        <x:v>记录拒付结果=MERCHANT_PREVAILED；裁决结果=COMPLAINT_NOT_UPHELD，并核对临时贷记/退款/再扣款</x:v>
      </x:c>
      <x:c r="F57" s="20" t="str">
        <x:v>结果层级与资金状态分开落库</x:v>
      </x:c>
      <x:c r="G57" s="20" t="str">
        <x:v>继承案件截止时间</x:v>
      </x:c>
      <x:c r="H57" s="20" t="str"/>
    </x:row>
    <x:row r="58" ht="66" customHeight="1">
      <x:c r="A58" s="20" t="str">
        <x:v>PUB-009</x:v>
      </x:c>
      <x:c r="B58" s="23" t="n">
        <x:v>1</x:v>
      </x:c>
      <x:c r="C58" s="20" t="str">
        <x:v>INTAKE</x:v>
      </x:c>
      <x:c r="D58" s="20" t="str">
        <x:v>PSP_SUPPORT</x:v>
      </x:c>
      <x:c r="E58" s="20" t="str">
        <x:v>接收争议通知，记录金额、理由、截止时间与资金状态</x:v>
      </x:c>
      <x:c r="F58" s="20" t="str">
        <x:v>案件主键与截止时间已建立</x:v>
      </x:c>
      <x:c r="G58" s="20" t="str">
        <x:v>以实际通知为准；示例不声明统一时限</x:v>
      </x:c>
      <x:c r="H58" s="20" t="str"/>
    </x:row>
    <x:row r="59" ht="66" customHeight="1">
      <x:c r="A59" s="20" t="str">
        <x:v>PUB-009</x:v>
      </x:c>
      <x:c r="B59" s="23" t="n">
        <x:v>2</x:v>
      </x:c>
      <x:c r="C59" s="20" t="str">
        <x:v>CLASSIFY</x:v>
      </x:c>
      <x:c r="D59" s="20" t="str">
        <x:v>FINANCE</x:v>
      </x:c>
      <x:c r="E59" s="20" t="str">
        <x:v>核对持卡人主张、交易事实与理由族，识别是否选错理由</x:v>
      </x:c>
      <x:c r="F59" s="20" t="str">
        <x:v>理由族已确认或转人工</x:v>
      </x:c>
      <x:c r="G59" s="20" t="str">
        <x:v>继承案件截止时间</x:v>
      </x:c>
      <x:c r="H59" s="20" t="str"/>
    </x:row>
    <x:row r="60" ht="66" customHeight="1">
      <x:c r="A60" s="20" t="str">
        <x:v>PUB-009</x:v>
      </x:c>
      <x:c r="B60" s="23" t="n">
        <x:v>3</x:v>
      </x:c>
      <x:c r="C60" s="20" t="str">
        <x:v>COLLECT</x:v>
      </x:c>
      <x:c r="D60" s="20" t="str">
        <x:v>FINANCE</x:v>
      </x:c>
      <x:c r="E60" s="20" t="str">
        <x:v>按清单向商户/内部团队补证，并标记来源、时间和矛盾</x:v>
      </x:c>
      <x:c r="F60" s="20" t="str">
        <x:v>证据存在性与缺失项已登记</x:v>
      </x:c>
      <x:c r="G60" s="20" t="str">
        <x:v>继承案件截止时间</x:v>
      </x:c>
      <x:c r="H60" s="20" t="str"/>
    </x:row>
    <x:row r="61" ht="66" customHeight="1">
      <x:c r="A61" s="20" t="str">
        <x:v>PUB-009</x:v>
      </x:c>
      <x:c r="B61" s="23" t="n">
        <x:v>4</x:v>
      </x:c>
      <x:c r="C61" s="20" t="str">
        <x:v>REVIEW</x:v>
      </x:c>
      <x:c r="D61" s="20" t="str">
        <x:v>RISK</x:v>
      </x:c>
      <x:c r="E61" s="20" t="str">
        <x:v>检查证据相关性、真实性、格式、页数、金额和时限</x:v>
      </x:c>
      <x:c r="F61" s="20" t="str">
        <x:v>形成接受/申诉/升级建议</x:v>
      </x:c>
      <x:c r="G61" s="20" t="str">
        <x:v>继承案件截止时间</x:v>
      </x:c>
      <x:c r="H61" s="20" t="str">
        <x:v>PUBLIC_CASE_NOT_IMPORTABLE</x:v>
      </x:c>
    </x:row>
    <x:row r="62" ht="66" customHeight="1">
      <x:c r="A62" s="20" t="str">
        <x:v>PUB-009</x:v>
      </x:c>
      <x:c r="B62" s="23" t="n">
        <x:v>5</x:v>
      </x:c>
      <x:c r="C62" s="20" t="str">
        <x:v>DECIDE</x:v>
      </x:c>
      <x:c r="D62" s="20" t="str">
        <x:v>FINANCE</x:v>
      </x:c>
      <x:c r="E62" s="20" t="str">
        <x:v>人工确认后决定是否提交申诉</x:v>
      </x:c>
      <x:c r="F62" s="20" t="str">
        <x:v>保留人工决定与理由</x:v>
      </x:c>
      <x:c r="G62" s="20" t="str">
        <x:v>继承案件截止时间</x:v>
      </x:c>
      <x:c r="H62" s="20" t="str"/>
    </x:row>
    <x:row r="63" ht="66" customHeight="1">
      <x:c r="A63" s="20" t="str">
        <x:v>PUB-009</x:v>
      </x:c>
      <x:c r="B63" s="23" t="n">
        <x:v>6</x:v>
      </x:c>
      <x:c r="C63" s="20" t="str">
        <x:v>PACKAGE</x:v>
      </x:c>
      <x:c r="D63" s="20" t="str">
        <x:v>PSP_SUPPORT</x:v>
      </x:c>
      <x:c r="E63" s="20" t="str">
        <x:v>按事实时间线打包，去除敏感信息，不把无关材料堆入证据包</x:v>
      </x:c>
      <x:c r="F63" s="20" t="str">
        <x:v>证据包可读、可追溯、格式合规</x:v>
      </x:c>
      <x:c r="G63" s="20" t="str">
        <x:v>继承案件截止时间</x:v>
      </x:c>
      <x:c r="H63" s="20" t="str"/>
    </x:row>
    <x:row r="64" ht="66" customHeight="1">
      <x:c r="A64" s="20" t="str">
        <x:v>PUB-009</x:v>
      </x:c>
      <x:c r="B64" s="23" t="n">
        <x:v>7</x:v>
      </x:c>
      <x:c r="C64" s="20" t="str">
        <x:v>OUTCOME</x:v>
      </x:c>
      <x:c r="D64" s="20" t="str">
        <x:v>FINANCE</x:v>
      </x:c>
      <x:c r="E64" s="20" t="str">
        <x:v>记录拒付结果=MERCHANT_PREVAILED；裁决结果=COMPLAINT_NOT_UPHELD，并核对临时贷记/退款/再扣款</x:v>
      </x:c>
      <x:c r="F64" s="20" t="str">
        <x:v>结果层级与资金状态分开落库</x:v>
      </x:c>
      <x:c r="G64" s="20" t="str">
        <x:v>继承案件截止时间</x:v>
      </x:c>
      <x:c r="H64" s="20" t="str"/>
    </x:row>
    <x:row r="65" ht="66" customHeight="1">
      <x:c r="A65" s="20" t="str">
        <x:v>PUB-010</x:v>
      </x:c>
      <x:c r="B65" s="23" t="n">
        <x:v>1</x:v>
      </x:c>
      <x:c r="C65" s="20" t="str">
        <x:v>INTAKE</x:v>
      </x:c>
      <x:c r="D65" s="20" t="str">
        <x:v>PSP_SUPPORT</x:v>
      </x:c>
      <x:c r="E65" s="20" t="str">
        <x:v>接收争议通知，记录金额、理由、截止时间与资金状态</x:v>
      </x:c>
      <x:c r="F65" s="20" t="str">
        <x:v>案件主键与截止时间已建立</x:v>
      </x:c>
      <x:c r="G65" s="20" t="str">
        <x:v>以实际通知为准；示例不声明统一时限</x:v>
      </x:c>
      <x:c r="H65" s="20" t="str"/>
    </x:row>
    <x:row r="66" ht="66" customHeight="1">
      <x:c r="A66" s="20" t="str">
        <x:v>PUB-010</x:v>
      </x:c>
      <x:c r="B66" s="23" t="n">
        <x:v>2</x:v>
      </x:c>
      <x:c r="C66" s="20" t="str">
        <x:v>CLASSIFY</x:v>
      </x:c>
      <x:c r="D66" s="20" t="str">
        <x:v>CUSTOMER_SUPPORT</x:v>
      </x:c>
      <x:c r="E66" s="20" t="str">
        <x:v>核对持卡人主张、交易事实与理由族，识别是否选错理由</x:v>
      </x:c>
      <x:c r="F66" s="20" t="str">
        <x:v>理由族已确认或转人工</x:v>
      </x:c>
      <x:c r="G66" s="20" t="str">
        <x:v>继承案件截止时间</x:v>
      </x:c>
      <x:c r="H66" s="20" t="str"/>
    </x:row>
    <x:row r="67" ht="66" customHeight="1">
      <x:c r="A67" s="20" t="str">
        <x:v>PUB-010</x:v>
      </x:c>
      <x:c r="B67" s="23" t="n">
        <x:v>3</x:v>
      </x:c>
      <x:c r="C67" s="20" t="str">
        <x:v>COLLECT</x:v>
      </x:c>
      <x:c r="D67" s="20" t="str">
        <x:v>CUSTOMER_SUPPORT</x:v>
      </x:c>
      <x:c r="E67" s="20" t="str">
        <x:v>按清单向商户/内部团队补证，并标记来源、时间和矛盾</x:v>
      </x:c>
      <x:c r="F67" s="20" t="str">
        <x:v>证据存在性与缺失项已登记</x:v>
      </x:c>
      <x:c r="G67" s="20" t="str">
        <x:v>继承案件截止时间</x:v>
      </x:c>
      <x:c r="H67" s="20" t="str"/>
    </x:row>
    <x:row r="68" ht="66" customHeight="1">
      <x:c r="A68" s="20" t="str">
        <x:v>PUB-010</x:v>
      </x:c>
      <x:c r="B68" s="23" t="n">
        <x:v>4</x:v>
      </x:c>
      <x:c r="C68" s="20" t="str">
        <x:v>REVIEW</x:v>
      </x:c>
      <x:c r="D68" s="20" t="str">
        <x:v>RISK</x:v>
      </x:c>
      <x:c r="E68" s="20" t="str">
        <x:v>检查证据相关性、真实性、格式、页数、金额和时限</x:v>
      </x:c>
      <x:c r="F68" s="20" t="str">
        <x:v>形成接受/申诉/升级建议</x:v>
      </x:c>
      <x:c r="G68" s="20" t="str">
        <x:v>继承案件截止时间</x:v>
      </x:c>
      <x:c r="H68" s="20" t="str">
        <x:v>PUBLIC_CASE_NOT_IMPORTABLE</x:v>
      </x:c>
    </x:row>
    <x:row r="69" ht="66" customHeight="1">
      <x:c r="A69" s="20" t="str">
        <x:v>PUB-010</x:v>
      </x:c>
      <x:c r="B69" s="23" t="n">
        <x:v>5</x:v>
      </x:c>
      <x:c r="C69" s="20" t="str">
        <x:v>DECIDE</x:v>
      </x:c>
      <x:c r="D69" s="20" t="str">
        <x:v>CUSTOMER_SUPPORT</x:v>
      </x:c>
      <x:c r="E69" s="20" t="str">
        <x:v>人工确认后决定是否提交申诉</x:v>
      </x:c>
      <x:c r="F69" s="20" t="str">
        <x:v>保留人工决定与理由</x:v>
      </x:c>
      <x:c r="G69" s="20" t="str">
        <x:v>继承案件截止时间</x:v>
      </x:c>
      <x:c r="H69" s="20" t="str"/>
    </x:row>
    <x:row r="70" ht="66" customHeight="1">
      <x:c r="A70" s="20" t="str">
        <x:v>PUB-010</x:v>
      </x:c>
      <x:c r="B70" s="23" t="n">
        <x:v>6</x:v>
      </x:c>
      <x:c r="C70" s="20" t="str">
        <x:v>PACKAGE</x:v>
      </x:c>
      <x:c r="D70" s="20" t="str">
        <x:v>PSP_SUPPORT</x:v>
      </x:c>
      <x:c r="E70" s="20" t="str">
        <x:v>按事实时间线打包，去除敏感信息，不把无关材料堆入证据包</x:v>
      </x:c>
      <x:c r="F70" s="20" t="str">
        <x:v>证据包可读、可追溯、格式合规</x:v>
      </x:c>
      <x:c r="G70" s="20" t="str">
        <x:v>继承案件截止时间</x:v>
      </x:c>
      <x:c r="H70" s="20" t="str"/>
    </x:row>
    <x:row r="71" ht="66" customHeight="1">
      <x:c r="A71" s="20" t="str">
        <x:v>PUB-010</x:v>
      </x:c>
      <x:c r="B71" s="23" t="n">
        <x:v>7</x:v>
      </x:c>
      <x:c r="C71" s="20" t="str">
        <x:v>OUTCOME</x:v>
      </x:c>
      <x:c r="D71" s="20" t="str">
        <x:v>FINANCE</x:v>
      </x:c>
      <x:c r="E71" s="20" t="str">
        <x:v>记录拒付结果=MERCHANT_PREVAILED；裁决结果=COMPLAINT_NOT_UPHELD，并核对临时贷记/退款/再扣款</x:v>
      </x:c>
      <x:c r="F71" s="20" t="str">
        <x:v>结果层级与资金状态分开落库</x:v>
      </x:c>
      <x:c r="G71" s="20" t="str">
        <x:v>继承案件截止时间</x:v>
      </x:c>
      <x:c r="H71" s="20" t="str"/>
    </x:row>
    <x:row r="72" ht="66" customHeight="1">
      <x:c r="A72" s="20" t="str">
        <x:v>PUB-011</x:v>
      </x:c>
      <x:c r="B72" s="23" t="n">
        <x:v>1</x:v>
      </x:c>
      <x:c r="C72" s="20" t="str">
        <x:v>INTAKE</x:v>
      </x:c>
      <x:c r="D72" s="20" t="str">
        <x:v>PSP_SUPPORT</x:v>
      </x:c>
      <x:c r="E72" s="20" t="str">
        <x:v>接收争议通知，记录金额、理由、截止时间与资金状态</x:v>
      </x:c>
      <x:c r="F72" s="20" t="str">
        <x:v>案件主键与截止时间已建立</x:v>
      </x:c>
      <x:c r="G72" s="20" t="str">
        <x:v>以实际通知为准；示例不声明统一时限</x:v>
      </x:c>
      <x:c r="H72" s="20" t="str"/>
    </x:row>
    <x:row r="73" ht="66" customHeight="1">
      <x:c r="A73" s="20" t="str">
        <x:v>PUB-011</x:v>
      </x:c>
      <x:c r="B73" s="23" t="n">
        <x:v>2</x:v>
      </x:c>
      <x:c r="C73" s="20" t="str">
        <x:v>CLASSIFY</x:v>
      </x:c>
      <x:c r="D73" s="20" t="str">
        <x:v>BUSINESS</x:v>
      </x:c>
      <x:c r="E73" s="20" t="str">
        <x:v>核对持卡人主张、交易事实与理由族，识别是否选错理由</x:v>
      </x:c>
      <x:c r="F73" s="20" t="str">
        <x:v>理由族已确认或转人工</x:v>
      </x:c>
      <x:c r="G73" s="20" t="str">
        <x:v>继承案件截止时间</x:v>
      </x:c>
      <x:c r="H73" s="20" t="str"/>
    </x:row>
    <x:row r="74" ht="66" customHeight="1">
      <x:c r="A74" s="20" t="str">
        <x:v>PUB-011</x:v>
      </x:c>
      <x:c r="B74" s="23" t="n">
        <x:v>3</x:v>
      </x:c>
      <x:c r="C74" s="20" t="str">
        <x:v>COLLECT</x:v>
      </x:c>
      <x:c r="D74" s="20" t="str">
        <x:v>BUSINESS</x:v>
      </x:c>
      <x:c r="E74" s="20" t="str">
        <x:v>按清单向商户/内部团队补证，并标记来源、时间和矛盾</x:v>
      </x:c>
      <x:c r="F74" s="20" t="str">
        <x:v>证据存在性与缺失项已登记</x:v>
      </x:c>
      <x:c r="G74" s="20" t="str">
        <x:v>继承案件截止时间</x:v>
      </x:c>
      <x:c r="H74" s="20" t="str"/>
    </x:row>
    <x:row r="75" ht="66" customHeight="1">
      <x:c r="A75" s="20" t="str">
        <x:v>PUB-011</x:v>
      </x:c>
      <x:c r="B75" s="23" t="n">
        <x:v>4</x:v>
      </x:c>
      <x:c r="C75" s="20" t="str">
        <x:v>REVIEW</x:v>
      </x:c>
      <x:c r="D75" s="20" t="str">
        <x:v>RISK</x:v>
      </x:c>
      <x:c r="E75" s="20" t="str">
        <x:v>检查证据相关性、真实性、格式、页数、金额和时限</x:v>
      </x:c>
      <x:c r="F75" s="20" t="str">
        <x:v>形成接受/申诉/升级建议</x:v>
      </x:c>
      <x:c r="G75" s="20" t="str">
        <x:v>继承案件截止时间</x:v>
      </x:c>
      <x:c r="H75" s="20" t="str">
        <x:v>PUBLIC_CASE_NOT_IMPORTABLE</x:v>
      </x:c>
    </x:row>
    <x:row r="76" ht="66" customHeight="1">
      <x:c r="A76" s="20" t="str">
        <x:v>PUB-011</x:v>
      </x:c>
      <x:c r="B76" s="23" t="n">
        <x:v>5</x:v>
      </x:c>
      <x:c r="C76" s="20" t="str">
        <x:v>DECIDE</x:v>
      </x:c>
      <x:c r="D76" s="20" t="str">
        <x:v>BUSINESS</x:v>
      </x:c>
      <x:c r="E76" s="20" t="str">
        <x:v>人工确认后决定是否提交申诉</x:v>
      </x:c>
      <x:c r="F76" s="20" t="str">
        <x:v>保留人工决定与理由</x:v>
      </x:c>
      <x:c r="G76" s="20" t="str">
        <x:v>继承案件截止时间</x:v>
      </x:c>
      <x:c r="H76" s="20" t="str"/>
    </x:row>
    <x:row r="77" ht="66" customHeight="1">
      <x:c r="A77" s="20" t="str">
        <x:v>PUB-011</x:v>
      </x:c>
      <x:c r="B77" s="23" t="n">
        <x:v>6</x:v>
      </x:c>
      <x:c r="C77" s="20" t="str">
        <x:v>PACKAGE</x:v>
      </x:c>
      <x:c r="D77" s="20" t="str">
        <x:v>PSP_SUPPORT</x:v>
      </x:c>
      <x:c r="E77" s="20" t="str">
        <x:v>按事实时间线打包，去除敏感信息，不把无关材料堆入证据包</x:v>
      </x:c>
      <x:c r="F77" s="20" t="str">
        <x:v>证据包可读、可追溯、格式合规</x:v>
      </x:c>
      <x:c r="G77" s="20" t="str">
        <x:v>继承案件截止时间</x:v>
      </x:c>
      <x:c r="H77" s="20" t="str"/>
    </x:row>
    <x:row r="78" ht="66" customHeight="1">
      <x:c r="A78" s="20" t="str">
        <x:v>PUB-011</x:v>
      </x:c>
      <x:c r="B78" s="23" t="n">
        <x:v>7</x:v>
      </x:c>
      <x:c r="C78" s="20" t="str">
        <x:v>OUTCOME</x:v>
      </x:c>
      <x:c r="D78" s="20" t="str">
        <x:v>FINANCE</x:v>
      </x:c>
      <x:c r="E78" s="20" t="str">
        <x:v>记录拒付结果=MERCHANT_PREVAILED；裁决结果=COMPLAINT_NOT_UPHELD，并核对临时贷记/退款/再扣款</x:v>
      </x:c>
      <x:c r="F78" s="20" t="str">
        <x:v>结果层级与资金状态分开落库</x:v>
      </x:c>
      <x:c r="G78" s="20" t="str">
        <x:v>继承案件截止时间</x:v>
      </x:c>
      <x:c r="H78" s="20" t="str"/>
    </x:row>
    <x:row r="79" ht="66" customHeight="1">
      <x:c r="A79" s="20" t="str">
        <x:v>PUB-012</x:v>
      </x:c>
      <x:c r="B79" s="23" t="n">
        <x:v>1</x:v>
      </x:c>
      <x:c r="C79" s="20" t="str">
        <x:v>INTAKE</x:v>
      </x:c>
      <x:c r="D79" s="20" t="str">
        <x:v>PSP_SUPPORT</x:v>
      </x:c>
      <x:c r="E79" s="20" t="str">
        <x:v>接收争议通知，记录金额、理由、截止时间与资金状态</x:v>
      </x:c>
      <x:c r="F79" s="20" t="str">
        <x:v>案件主键与截止时间已建立</x:v>
      </x:c>
      <x:c r="G79" s="20" t="str">
        <x:v>以实际通知为准；示例不声明统一时限</x:v>
      </x:c>
      <x:c r="H79" s="20" t="str"/>
    </x:row>
    <x:row r="80" ht="66" customHeight="1">
      <x:c r="A80" s="20" t="str">
        <x:v>PUB-012</x:v>
      </x:c>
      <x:c r="B80" s="23" t="n">
        <x:v>2</x:v>
      </x:c>
      <x:c r="C80" s="20" t="str">
        <x:v>CLASSIFY</x:v>
      </x:c>
      <x:c r="D80" s="20" t="str">
        <x:v>CUSTOMER_SUPPORT</x:v>
      </x:c>
      <x:c r="E80" s="20" t="str">
        <x:v>核对持卡人主张、交易事实与理由族，识别是否选错理由</x:v>
      </x:c>
      <x:c r="F80" s="20" t="str">
        <x:v>理由族已确认或转人工</x:v>
      </x:c>
      <x:c r="G80" s="20" t="str">
        <x:v>继承案件截止时间</x:v>
      </x:c>
      <x:c r="H80" s="20" t="str"/>
    </x:row>
    <x:row r="81" ht="66" customHeight="1">
      <x:c r="A81" s="20" t="str">
        <x:v>PUB-012</x:v>
      </x:c>
      <x:c r="B81" s="23" t="n">
        <x:v>3</x:v>
      </x:c>
      <x:c r="C81" s="20" t="str">
        <x:v>COLLECT</x:v>
      </x:c>
      <x:c r="D81" s="20" t="str">
        <x:v>CUSTOMER_SUPPORT</x:v>
      </x:c>
      <x:c r="E81" s="20" t="str">
        <x:v>按清单向商户/内部团队补证，并标记来源、时间和矛盾</x:v>
      </x:c>
      <x:c r="F81" s="20" t="str">
        <x:v>证据存在性与缺失项已登记</x:v>
      </x:c>
      <x:c r="G81" s="20" t="str">
        <x:v>继承案件截止时间</x:v>
      </x:c>
      <x:c r="H81" s="20" t="str"/>
    </x:row>
    <x:row r="82" ht="66" customHeight="1">
      <x:c r="A82" s="20" t="str">
        <x:v>PUB-012</x:v>
      </x:c>
      <x:c r="B82" s="23" t="n">
        <x:v>4</x:v>
      </x:c>
      <x:c r="C82" s="20" t="str">
        <x:v>REVIEW</x:v>
      </x:c>
      <x:c r="D82" s="20" t="str">
        <x:v>RISK</x:v>
      </x:c>
      <x:c r="E82" s="20" t="str">
        <x:v>检查证据相关性、真实性、格式、页数、金额和时限</x:v>
      </x:c>
      <x:c r="F82" s="20" t="str">
        <x:v>形成接受/申诉/升级建议</x:v>
      </x:c>
      <x:c r="G82" s="20" t="str">
        <x:v>继承案件截止时间</x:v>
      </x:c>
      <x:c r="H82" s="20" t="str">
        <x:v>PUBLIC_CASE_NOT_IMPORTABLE</x:v>
      </x:c>
    </x:row>
    <x:row r="83" ht="66" customHeight="1">
      <x:c r="A83" s="20" t="str">
        <x:v>PUB-012</x:v>
      </x:c>
      <x:c r="B83" s="23" t="n">
        <x:v>5</x:v>
      </x:c>
      <x:c r="C83" s="20" t="str">
        <x:v>DECIDE</x:v>
      </x:c>
      <x:c r="D83" s="20" t="str">
        <x:v>CUSTOMER_SUPPORT</x:v>
      </x:c>
      <x:c r="E83" s="20" t="str">
        <x:v>人工确认后决定是否提交申诉</x:v>
      </x:c>
      <x:c r="F83" s="20" t="str">
        <x:v>保留人工决定与理由</x:v>
      </x:c>
      <x:c r="G83" s="20" t="str">
        <x:v>继承案件截止时间</x:v>
      </x:c>
      <x:c r="H83" s="20" t="str"/>
    </x:row>
    <x:row r="84" ht="66" customHeight="1">
      <x:c r="A84" s="20" t="str">
        <x:v>PUB-012</x:v>
      </x:c>
      <x:c r="B84" s="23" t="n">
        <x:v>6</x:v>
      </x:c>
      <x:c r="C84" s="20" t="str">
        <x:v>PACKAGE</x:v>
      </x:c>
      <x:c r="D84" s="20" t="str">
        <x:v>PSP_SUPPORT</x:v>
      </x:c>
      <x:c r="E84" s="20" t="str">
        <x:v>按事实时间线打包，去除敏感信息，不把无关材料堆入证据包</x:v>
      </x:c>
      <x:c r="F84" s="20" t="str">
        <x:v>证据包可读、可追溯、格式合规</x:v>
      </x:c>
      <x:c r="G84" s="20" t="str">
        <x:v>继承案件截止时间</x:v>
      </x:c>
      <x:c r="H84" s="20" t="str"/>
    </x:row>
    <x:row r="85" ht="66" customHeight="1">
      <x:c r="A85" s="20" t="str">
        <x:v>PUB-012</x:v>
      </x:c>
      <x:c r="B85" s="23" t="n">
        <x:v>7</x:v>
      </x:c>
      <x:c r="C85" s="20" t="str">
        <x:v>OUTCOME</x:v>
      </x:c>
      <x:c r="D85" s="20" t="str">
        <x:v>FINANCE</x:v>
      </x:c>
      <x:c r="E85" s="20" t="str">
        <x:v>记录拒付结果=MERCHANT_PREVAILED；裁决结果=COMPLAINT_UPHELD，并核对临时贷记/退款/再扣款</x:v>
      </x:c>
      <x:c r="F85" s="20" t="str">
        <x:v>结果层级与资金状态分开落库</x:v>
      </x:c>
      <x:c r="G85" s="20" t="str">
        <x:v>继承案件截止时间</x:v>
      </x:c>
      <x:c r="H85" s="20" t="str"/>
    </x:row>
    <x:row r="86" ht="66" customHeight="1">
      <x:c r="A86" s="20" t="str">
        <x:v>SYN-001</x:v>
      </x:c>
      <x:c r="B86" s="23" t="n">
        <x:v>1</x:v>
      </x:c>
      <x:c r="C86" s="20" t="str">
        <x:v>INTAKE</x:v>
      </x:c>
      <x:c r="D86" s="20" t="str">
        <x:v>PSP_SUPPORT</x:v>
      </x:c>
      <x:c r="E86" s="20" t="str">
        <x:v>接收争议通知，记录金额、理由、截止时间与资金状态</x:v>
      </x:c>
      <x:c r="F86" s="20" t="str">
        <x:v>案件主键与截止时间已建立</x:v>
      </x:c>
      <x:c r="G86" s="20" t="str">
        <x:v>以实际通知为准；示例不声明统一时限</x:v>
      </x:c>
      <x:c r="H86" s="20" t="str"/>
    </x:row>
    <x:row r="87" ht="66" customHeight="1">
      <x:c r="A87" s="20" t="str">
        <x:v>SYN-001</x:v>
      </x:c>
      <x:c r="B87" s="23" t="n">
        <x:v>2</x:v>
      </x:c>
      <x:c r="C87" s="20" t="str">
        <x:v>CLASSIFY</x:v>
      </x:c>
      <x:c r="D87" s="20" t="str">
        <x:v>RISK</x:v>
      </x:c>
      <x:c r="E87" s="20" t="str">
        <x:v>核对持卡人主张、交易事实与理由族，识别是否选错理由</x:v>
      </x:c>
      <x:c r="F87" s="20" t="str">
        <x:v>理由族已确认或转人工</x:v>
      </x:c>
      <x:c r="G87" s="20" t="str">
        <x:v>继承案件截止时间</x:v>
      </x:c>
      <x:c r="H87" s="20" t="str"/>
    </x:row>
    <x:row r="88" ht="66" customHeight="1">
      <x:c r="A88" s="20" t="str">
        <x:v>SYN-001</x:v>
      </x:c>
      <x:c r="B88" s="23" t="n">
        <x:v>3</x:v>
      </x:c>
      <x:c r="C88" s="20" t="str">
        <x:v>COLLECT</x:v>
      </x:c>
      <x:c r="D88" s="20" t="str">
        <x:v>RISK</x:v>
      </x:c>
      <x:c r="E88" s="20" t="str">
        <x:v>按清单向商户/内部团队补证，并标记来源、时间和矛盾</x:v>
      </x:c>
      <x:c r="F88" s="20" t="str">
        <x:v>证据存在性与缺失项已登记</x:v>
      </x:c>
      <x:c r="G88" s="20" t="str">
        <x:v>继承案件截止时间</x:v>
      </x:c>
      <x:c r="H88" s="20" t="str"/>
    </x:row>
    <x:row r="89" ht="66" customHeight="1">
      <x:c r="A89" s="20" t="str">
        <x:v>SYN-001</x:v>
      </x:c>
      <x:c r="B89" s="23" t="n">
        <x:v>4</x:v>
      </x:c>
      <x:c r="C89" s="20" t="str">
        <x:v>REVIEW</x:v>
      </x:c>
      <x:c r="D89" s="20" t="str">
        <x:v>RISK</x:v>
      </x:c>
      <x:c r="E89" s="20" t="str">
        <x:v>检查证据相关性、真实性、格式、页数、金额和时限</x:v>
      </x:c>
      <x:c r="F89" s="20" t="str">
        <x:v>形成接受/申诉/升级建议</x:v>
      </x:c>
      <x:c r="G89" s="20" t="str">
        <x:v>继承案件截止时间</x:v>
      </x:c>
      <x:c r="H89" s="20" t="str">
        <x:v>POLICY_REVIEW</x:v>
      </x:c>
    </x:row>
    <x:row r="90" ht="66" customHeight="1">
      <x:c r="A90" s="20" t="str">
        <x:v>SYN-001</x:v>
      </x:c>
      <x:c r="B90" s="23" t="n">
        <x:v>5</x:v>
      </x:c>
      <x:c r="C90" s="20" t="str">
        <x:v>DECIDE</x:v>
      </x:c>
      <x:c r="D90" s="20" t="str">
        <x:v>RISK</x:v>
      </x:c>
      <x:c r="E90" s="20" t="str">
        <x:v>人工确认后决定是否提交申诉</x:v>
      </x:c>
      <x:c r="F90" s="20" t="str">
        <x:v>保留人工决定与理由</x:v>
      </x:c>
      <x:c r="G90" s="20" t="str">
        <x:v>继承案件截止时间</x:v>
      </x:c>
      <x:c r="H90" s="20" t="str"/>
    </x:row>
    <x:row r="91" ht="66" customHeight="1">
      <x:c r="A91" s="20" t="str">
        <x:v>SYN-001</x:v>
      </x:c>
      <x:c r="B91" s="23" t="n">
        <x:v>6</x:v>
      </x:c>
      <x:c r="C91" s="20" t="str">
        <x:v>PACKAGE</x:v>
      </x:c>
      <x:c r="D91" s="20" t="str">
        <x:v>PSP_SUPPORT</x:v>
      </x:c>
      <x:c r="E91" s="20" t="str">
        <x:v>按事实时间线打包，去除敏感信息，不把无关材料堆入证据包</x:v>
      </x:c>
      <x:c r="F91" s="20" t="str">
        <x:v>证据包可读、可追溯、格式合规</x:v>
      </x:c>
      <x:c r="G91" s="20" t="str">
        <x:v>继承案件截止时间</x:v>
      </x:c>
      <x:c r="H91" s="20" t="str"/>
    </x:row>
    <x:row r="92" ht="66" customHeight="1">
      <x:c r="A92" s="20" t="str">
        <x:v>SYN-001</x:v>
      </x:c>
      <x:c r="B92" s="23" t="n">
        <x:v>7</x:v>
      </x:c>
      <x:c r="C92" s="20" t="str">
        <x:v>OUTCOME</x:v>
      </x:c>
      <x:c r="D92" s="20" t="str">
        <x:v>FINANCE</x:v>
      </x:c>
      <x:c r="E92" s="20" t="str">
        <x:v>记录拒付结果=EXPECTED_WON；裁决结果=NOT_APPLICABLE，并核对临时贷记/退款/再扣款</x:v>
      </x:c>
      <x:c r="F92" s="20" t="str">
        <x:v>结果层级与资金状态分开落库</x:v>
      </x:c>
      <x:c r="G92" s="20" t="str">
        <x:v>继承案件截止时间</x:v>
      </x:c>
      <x:c r="H92" s="20" t="str"/>
    </x:row>
    <x:row r="93" ht="66" customHeight="1">
      <x:c r="A93" s="20" t="str">
        <x:v>SYN-002</x:v>
      </x:c>
      <x:c r="B93" s="23" t="n">
        <x:v>1</x:v>
      </x:c>
      <x:c r="C93" s="20" t="str">
        <x:v>INTAKE</x:v>
      </x:c>
      <x:c r="D93" s="20" t="str">
        <x:v>PSP_SUPPORT</x:v>
      </x:c>
      <x:c r="E93" s="20" t="str">
        <x:v>接收争议通知，记录金额、理由、截止时间与资金状态</x:v>
      </x:c>
      <x:c r="F93" s="20" t="str">
        <x:v>案件主键与截止时间已建立</x:v>
      </x:c>
      <x:c r="G93" s="20" t="str">
        <x:v>以实际通知为准；示例不声明统一时限</x:v>
      </x:c>
      <x:c r="H93" s="20" t="str"/>
    </x:row>
    <x:row r="94" ht="66" customHeight="1">
      <x:c r="A94" s="20" t="str">
        <x:v>SYN-002</x:v>
      </x:c>
      <x:c r="B94" s="23" t="n">
        <x:v>2</x:v>
      </x:c>
      <x:c r="C94" s="20" t="str">
        <x:v>CLASSIFY</x:v>
      </x:c>
      <x:c r="D94" s="20" t="str">
        <x:v>RISK</x:v>
      </x:c>
      <x:c r="E94" s="20" t="str">
        <x:v>核对持卡人主张、交易事实与理由族，识别是否选错理由</x:v>
      </x:c>
      <x:c r="F94" s="20" t="str">
        <x:v>理由族已确认或转人工</x:v>
      </x:c>
      <x:c r="G94" s="20" t="str">
        <x:v>继承案件截止时间</x:v>
      </x:c>
      <x:c r="H94" s="20" t="str"/>
    </x:row>
    <x:row r="95" ht="66" customHeight="1">
      <x:c r="A95" s="20" t="str">
        <x:v>SYN-002</x:v>
      </x:c>
      <x:c r="B95" s="23" t="n">
        <x:v>3</x:v>
      </x:c>
      <x:c r="C95" s="20" t="str">
        <x:v>COLLECT</x:v>
      </x:c>
      <x:c r="D95" s="20" t="str">
        <x:v>RISK</x:v>
      </x:c>
      <x:c r="E95" s="20" t="str">
        <x:v>按清单向商户/内部团队补证，并标记来源、时间和矛盾</x:v>
      </x:c>
      <x:c r="F95" s="20" t="str">
        <x:v>证据存在性与缺失项已登记</x:v>
      </x:c>
      <x:c r="G95" s="20" t="str">
        <x:v>继承案件截止时间</x:v>
      </x:c>
      <x:c r="H95" s="20" t="str"/>
    </x:row>
    <x:row r="96" ht="66" customHeight="1">
      <x:c r="A96" s="20" t="str">
        <x:v>SYN-002</x:v>
      </x:c>
      <x:c r="B96" s="23" t="n">
        <x:v>4</x:v>
      </x:c>
      <x:c r="C96" s="20" t="str">
        <x:v>REVIEW</x:v>
      </x:c>
      <x:c r="D96" s="20" t="str">
        <x:v>RISK</x:v>
      </x:c>
      <x:c r="E96" s="20" t="str">
        <x:v>检查证据相关性、真实性、格式、页数、金额和时限</x:v>
      </x:c>
      <x:c r="F96" s="20" t="str">
        <x:v>形成接受/申诉/升级建议</x:v>
      </x:c>
      <x:c r="G96" s="20" t="str">
        <x:v>继承案件截止时间</x:v>
      </x:c>
      <x:c r="H96" s="20" t="str">
        <x:v>CONFLICT_OR_WEAK_EVIDENCE</x:v>
      </x:c>
    </x:row>
    <x:row r="97" ht="66" customHeight="1">
      <x:c r="A97" s="20" t="str">
        <x:v>SYN-002</x:v>
      </x:c>
      <x:c r="B97" s="23" t="n">
        <x:v>5</x:v>
      </x:c>
      <x:c r="C97" s="20" t="str">
        <x:v>DECIDE</x:v>
      </x:c>
      <x:c r="D97" s="20" t="str">
        <x:v>RISK</x:v>
      </x:c>
      <x:c r="E97" s="20" t="str">
        <x:v>建议接受或先补关键证据，避免无效抗辩</x:v>
      </x:c>
      <x:c r="F97" s="20" t="str">
        <x:v>保留人工决定与理由</x:v>
      </x:c>
      <x:c r="G97" s="20" t="str">
        <x:v>继承案件截止时间</x:v>
      </x:c>
      <x:c r="H97" s="20" t="str"/>
    </x:row>
    <x:row r="98" ht="66" customHeight="1">
      <x:c r="A98" s="20" t="str">
        <x:v>SYN-002</x:v>
      </x:c>
      <x:c r="B98" s="23" t="n">
        <x:v>6</x:v>
      </x:c>
      <x:c r="C98" s="20" t="str">
        <x:v>PACKAGE</x:v>
      </x:c>
      <x:c r="D98" s="20" t="str">
        <x:v>PSP_SUPPORT</x:v>
      </x:c>
      <x:c r="E98" s="20" t="str">
        <x:v>按事实时间线打包，去除敏感信息，不把无关材料堆入证据包</x:v>
      </x:c>
      <x:c r="F98" s="20" t="str">
        <x:v>证据包可读、可追溯、格式合规</x:v>
      </x:c>
      <x:c r="G98" s="20" t="str">
        <x:v>继承案件截止时间</x:v>
      </x:c>
      <x:c r="H98" s="20" t="str"/>
    </x:row>
    <x:row r="99" ht="66" customHeight="1">
      <x:c r="A99" s="20" t="str">
        <x:v>SYN-002</x:v>
      </x:c>
      <x:c r="B99" s="23" t="n">
        <x:v>7</x:v>
      </x:c>
      <x:c r="C99" s="20" t="str">
        <x:v>OUTCOME</x:v>
      </x:c>
      <x:c r="D99" s="20" t="str">
        <x:v>FINANCE</x:v>
      </x:c>
      <x:c r="E99" s="20" t="str">
        <x:v>记录拒付结果=EXPECTED_LOST；裁决结果=NOT_APPLICABLE，并核对临时贷记/退款/再扣款</x:v>
      </x:c>
      <x:c r="F99" s="20" t="str">
        <x:v>结果层级与资金状态分开落库</x:v>
      </x:c>
      <x:c r="G99" s="20" t="str">
        <x:v>继承案件截止时间</x:v>
      </x:c>
      <x:c r="H99" s="20" t="str"/>
    </x:row>
    <x:row r="100" ht="66" customHeight="1">
      <x:c r="A100" s="20" t="str">
        <x:v>SYN-003</x:v>
      </x:c>
      <x:c r="B100" s="23" t="n">
        <x:v>1</x:v>
      </x:c>
      <x:c r="C100" s="20" t="str">
        <x:v>INTAKE</x:v>
      </x:c>
      <x:c r="D100" s="20" t="str">
        <x:v>PSP_SUPPORT</x:v>
      </x:c>
      <x:c r="E100" s="20" t="str">
        <x:v>接收争议通知，记录金额、理由、截止时间与资金状态</x:v>
      </x:c>
      <x:c r="F100" s="20" t="str">
        <x:v>案件主键与截止时间已建立</x:v>
      </x:c>
      <x:c r="G100" s="20" t="str">
        <x:v>以实际通知为准；示例不声明统一时限</x:v>
      </x:c>
      <x:c r="H100" s="20" t="str"/>
    </x:row>
    <x:row r="101" ht="66" customHeight="1">
      <x:c r="A101" s="20" t="str">
        <x:v>SYN-003</x:v>
      </x:c>
      <x:c r="B101" s="23" t="n">
        <x:v>2</x:v>
      </x:c>
      <x:c r="C101" s="20" t="str">
        <x:v>CLASSIFY</x:v>
      </x:c>
      <x:c r="D101" s="20" t="str">
        <x:v>RISK</x:v>
      </x:c>
      <x:c r="E101" s="20" t="str">
        <x:v>核对持卡人主张、交易事实与理由族，识别是否选错理由</x:v>
      </x:c>
      <x:c r="F101" s="20" t="str">
        <x:v>理由族已确认或转人工</x:v>
      </x:c>
      <x:c r="G101" s="20" t="str">
        <x:v>继承案件截止时间</x:v>
      </x:c>
      <x:c r="H101" s="20" t="str"/>
    </x:row>
    <x:row r="102" ht="66" customHeight="1">
      <x:c r="A102" s="20" t="str">
        <x:v>SYN-003</x:v>
      </x:c>
      <x:c r="B102" s="23" t="n">
        <x:v>3</x:v>
      </x:c>
      <x:c r="C102" s="20" t="str">
        <x:v>COLLECT</x:v>
      </x:c>
      <x:c r="D102" s="20" t="str">
        <x:v>RISK</x:v>
      </x:c>
      <x:c r="E102" s="20" t="str">
        <x:v>按清单向商户/内部团队补证，并标记来源、时间和矛盾</x:v>
      </x:c>
      <x:c r="F102" s="20" t="str">
        <x:v>证据存在性与缺失项已登记</x:v>
      </x:c>
      <x:c r="G102" s="20" t="str">
        <x:v>继承案件截止时间</x:v>
      </x:c>
      <x:c r="H102" s="20" t="str"/>
    </x:row>
    <x:row r="103" ht="66" customHeight="1">
      <x:c r="A103" s="20" t="str">
        <x:v>SYN-003</x:v>
      </x:c>
      <x:c r="B103" s="23" t="n">
        <x:v>4</x:v>
      </x:c>
      <x:c r="C103" s="20" t="str">
        <x:v>REVIEW</x:v>
      </x:c>
      <x:c r="D103" s="20" t="str">
        <x:v>RISK</x:v>
      </x:c>
      <x:c r="E103" s="20" t="str">
        <x:v>检查证据相关性、真实性、格式、页数、金额和时限</x:v>
      </x:c>
      <x:c r="F103" s="20" t="str">
        <x:v>形成接受/申诉/升级建议</x:v>
      </x:c>
      <x:c r="G103" s="20" t="str">
        <x:v>继承案件截止时间</x:v>
      </x:c>
      <x:c r="H103" s="20" t="str">
        <x:v>CONFLICT_OR_WEAK_EVIDENCE</x:v>
      </x:c>
    </x:row>
    <x:row r="104" ht="66" customHeight="1">
      <x:c r="A104" s="20" t="str">
        <x:v>SYN-003</x:v>
      </x:c>
      <x:c r="B104" s="23" t="n">
        <x:v>5</x:v>
      </x:c>
      <x:c r="C104" s="20" t="str">
        <x:v>DECIDE</x:v>
      </x:c>
      <x:c r="D104" s="20" t="str">
        <x:v>RISK</x:v>
      </x:c>
      <x:c r="E104" s="20" t="str">
        <x:v>人工确认后决定是否提交申诉</x:v>
      </x:c>
      <x:c r="F104" s="20" t="str">
        <x:v>保留人工决定与理由</x:v>
      </x:c>
      <x:c r="G104" s="20" t="str">
        <x:v>继承案件截止时间</x:v>
      </x:c>
      <x:c r="H104" s="20" t="str"/>
    </x:row>
    <x:row r="105" ht="66" customHeight="1">
      <x:c r="A105" s="20" t="str">
        <x:v>SYN-003</x:v>
      </x:c>
      <x:c r="B105" s="23" t="n">
        <x:v>6</x:v>
      </x:c>
      <x:c r="C105" s="20" t="str">
        <x:v>PACKAGE</x:v>
      </x:c>
      <x:c r="D105" s="20" t="str">
        <x:v>PSP_SUPPORT</x:v>
      </x:c>
      <x:c r="E105" s="20" t="str">
        <x:v>按事实时间线打包，去除敏感信息，不把无关材料堆入证据包</x:v>
      </x:c>
      <x:c r="F105" s="20" t="str">
        <x:v>证据包可读、可追溯、格式合规</x:v>
      </x:c>
      <x:c r="G105" s="20" t="str">
        <x:v>继承案件截止时间</x:v>
      </x:c>
      <x:c r="H105" s="20" t="str"/>
    </x:row>
    <x:row r="106" ht="66" customHeight="1">
      <x:c r="A106" s="20" t="str">
        <x:v>SYN-003</x:v>
      </x:c>
      <x:c r="B106" s="23" t="n">
        <x:v>7</x:v>
      </x:c>
      <x:c r="C106" s="20" t="str">
        <x:v>OUTCOME</x:v>
      </x:c>
      <x:c r="D106" s="20" t="str">
        <x:v>FINANCE</x:v>
      </x:c>
      <x:c r="E106" s="20" t="str">
        <x:v>记录拒付结果=EXPECTED_PENDING；裁决结果=NOT_APPLICABLE，并核对临时贷记/退款/再扣款</x:v>
      </x:c>
      <x:c r="F106" s="20" t="str">
        <x:v>结果层级与资金状态分开落库</x:v>
      </x:c>
      <x:c r="G106" s="20" t="str">
        <x:v>继承案件截止时间</x:v>
      </x:c>
      <x:c r="H106" s="20" t="str"/>
    </x:row>
    <x:row r="107" ht="66" customHeight="1">
      <x:c r="A107" s="20" t="str">
        <x:v>SYN-004</x:v>
      </x:c>
      <x:c r="B107" s="23" t="n">
        <x:v>1</x:v>
      </x:c>
      <x:c r="C107" s="20" t="str">
        <x:v>INTAKE</x:v>
      </x:c>
      <x:c r="D107" s="20" t="str">
        <x:v>PSP_SUPPORT</x:v>
      </x:c>
      <x:c r="E107" s="20" t="str">
        <x:v>接收争议通知，记录金额、理由、截止时间与资金状态</x:v>
      </x:c>
      <x:c r="F107" s="20" t="str">
        <x:v>案件主键与截止时间已建立</x:v>
      </x:c>
      <x:c r="G107" s="20" t="str">
        <x:v>以实际通知为准；示例不声明统一时限</x:v>
      </x:c>
      <x:c r="H107" s="20" t="str"/>
    </x:row>
    <x:row r="108" ht="66" customHeight="1">
      <x:c r="A108" s="20" t="str">
        <x:v>SYN-004</x:v>
      </x:c>
      <x:c r="B108" s="23" t="n">
        <x:v>2</x:v>
      </x:c>
      <x:c r="C108" s="20" t="str">
        <x:v>CLASSIFY</x:v>
      </x:c>
      <x:c r="D108" s="20" t="str">
        <x:v>RISK</x:v>
      </x:c>
      <x:c r="E108" s="20" t="str">
        <x:v>核对持卡人主张、交易事实与理由族，识别是否选错理由</x:v>
      </x:c>
      <x:c r="F108" s="20" t="str">
        <x:v>理由族已确认或转人工</x:v>
      </x:c>
      <x:c r="G108" s="20" t="str">
        <x:v>继承案件截止时间</x:v>
      </x:c>
      <x:c r="H108" s="20" t="str"/>
    </x:row>
    <x:row r="109" ht="66" customHeight="1">
      <x:c r="A109" s="20" t="str">
        <x:v>SYN-004</x:v>
      </x:c>
      <x:c r="B109" s="23" t="n">
        <x:v>3</x:v>
      </x:c>
      <x:c r="C109" s="20" t="str">
        <x:v>COLLECT</x:v>
      </x:c>
      <x:c r="D109" s="20" t="str">
        <x:v>RISK</x:v>
      </x:c>
      <x:c r="E109" s="20" t="str">
        <x:v>按清单向商户/内部团队补证，并标记来源、时间和矛盾</x:v>
      </x:c>
      <x:c r="F109" s="20" t="str">
        <x:v>证据存在性与缺失项已登记</x:v>
      </x:c>
      <x:c r="G109" s="20" t="str">
        <x:v>继承案件截止时间</x:v>
      </x:c>
      <x:c r="H109" s="20" t="str"/>
    </x:row>
    <x:row r="110" ht="66" customHeight="1">
      <x:c r="A110" s="20" t="str">
        <x:v>SYN-004</x:v>
      </x:c>
      <x:c r="B110" s="23" t="n">
        <x:v>4</x:v>
      </x:c>
      <x:c r="C110" s="20" t="str">
        <x:v>REVIEW</x:v>
      </x:c>
      <x:c r="D110" s="20" t="str">
        <x:v>RISK</x:v>
      </x:c>
      <x:c r="E110" s="20" t="str">
        <x:v>检查证据相关性、真实性、格式、页数、金额和时限</x:v>
      </x:c>
      <x:c r="F110" s="20" t="str">
        <x:v>形成接受/申诉/升级建议</x:v>
      </x:c>
      <x:c r="G110" s="20" t="str">
        <x:v>继承案件截止时间</x:v>
      </x:c>
      <x:c r="H110" s="20" t="str">
        <x:v>POLICY_REVIEW</x:v>
      </x:c>
    </x:row>
    <x:row r="111" ht="66" customHeight="1">
      <x:c r="A111" s="20" t="str">
        <x:v>SYN-004</x:v>
      </x:c>
      <x:c r="B111" s="23" t="n">
        <x:v>5</x:v>
      </x:c>
      <x:c r="C111" s="20" t="str">
        <x:v>DECIDE</x:v>
      </x:c>
      <x:c r="D111" s="20" t="str">
        <x:v>RISK</x:v>
      </x:c>
      <x:c r="E111" s="20" t="str">
        <x:v>人工确认后决定是否提交申诉</x:v>
      </x:c>
      <x:c r="F111" s="20" t="str">
        <x:v>保留人工决定与理由</x:v>
      </x:c>
      <x:c r="G111" s="20" t="str">
        <x:v>继承案件截止时间</x:v>
      </x:c>
      <x:c r="H111" s="20" t="str"/>
    </x:row>
    <x:row r="112" ht="66" customHeight="1">
      <x:c r="A112" s="20" t="str">
        <x:v>SYN-004</x:v>
      </x:c>
      <x:c r="B112" s="23" t="n">
        <x:v>6</x:v>
      </x:c>
      <x:c r="C112" s="20" t="str">
        <x:v>PACKAGE</x:v>
      </x:c>
      <x:c r="D112" s="20" t="str">
        <x:v>PSP_SUPPORT</x:v>
      </x:c>
      <x:c r="E112" s="20" t="str">
        <x:v>按事实时间线打包，去除敏感信息，不把无关材料堆入证据包</x:v>
      </x:c>
      <x:c r="F112" s="20" t="str">
        <x:v>证据包可读、可追溯、格式合规</x:v>
      </x:c>
      <x:c r="G112" s="20" t="str">
        <x:v>继承案件截止时间</x:v>
      </x:c>
      <x:c r="H112" s="20" t="str"/>
    </x:row>
    <x:row r="113" ht="66" customHeight="1">
      <x:c r="A113" s="20" t="str">
        <x:v>SYN-004</x:v>
      </x:c>
      <x:c r="B113" s="23" t="n">
        <x:v>7</x:v>
      </x:c>
      <x:c r="C113" s="20" t="str">
        <x:v>OUTCOME</x:v>
      </x:c>
      <x:c r="D113" s="20" t="str">
        <x:v>FINANCE</x:v>
      </x:c>
      <x:c r="E113" s="20" t="str">
        <x:v>记录拒付结果=EXPECTED_WON；裁决结果=NOT_APPLICABLE，并核对临时贷记/退款/再扣款</x:v>
      </x:c>
      <x:c r="F113" s="20" t="str">
        <x:v>结果层级与资金状态分开落库</x:v>
      </x:c>
      <x:c r="G113" s="20" t="str">
        <x:v>继承案件截止时间</x:v>
      </x:c>
      <x:c r="H113" s="20" t="str"/>
    </x:row>
    <x:row r="114" ht="66" customHeight="1">
      <x:c r="A114" s="20" t="str">
        <x:v>SYN-005</x:v>
      </x:c>
      <x:c r="B114" s="23" t="n">
        <x:v>1</x:v>
      </x:c>
      <x:c r="C114" s="20" t="str">
        <x:v>INTAKE</x:v>
      </x:c>
      <x:c r="D114" s="20" t="str">
        <x:v>PSP_SUPPORT</x:v>
      </x:c>
      <x:c r="E114" s="20" t="str">
        <x:v>接收争议通知，记录金额、理由、截止时间与资金状态</x:v>
      </x:c>
      <x:c r="F114" s="20" t="str">
        <x:v>案件主键与截止时间已建立</x:v>
      </x:c>
      <x:c r="G114" s="20" t="str">
        <x:v>以实际通知为准；示例不声明统一时限</x:v>
      </x:c>
      <x:c r="H114" s="20" t="str"/>
    </x:row>
    <x:row r="115" ht="66" customHeight="1">
      <x:c r="A115" s="20" t="str">
        <x:v>SYN-005</x:v>
      </x:c>
      <x:c r="B115" s="23" t="n">
        <x:v>2</x:v>
      </x:c>
      <x:c r="C115" s="20" t="str">
        <x:v>CLASSIFY</x:v>
      </x:c>
      <x:c r="D115" s="20" t="str">
        <x:v>CUSTOMER_SUPPORT</x:v>
      </x:c>
      <x:c r="E115" s="20" t="str">
        <x:v>核对持卡人主张、交易事实与理由族，识别是否选错理由</x:v>
      </x:c>
      <x:c r="F115" s="20" t="str">
        <x:v>理由族已确认或转人工</x:v>
      </x:c>
      <x:c r="G115" s="20" t="str">
        <x:v>继承案件截止时间</x:v>
      </x:c>
      <x:c r="H115" s="20" t="str"/>
    </x:row>
    <x:row r="116" ht="66" customHeight="1">
      <x:c r="A116" s="20" t="str">
        <x:v>SYN-005</x:v>
      </x:c>
      <x:c r="B116" s="23" t="n">
        <x:v>3</x:v>
      </x:c>
      <x:c r="C116" s="20" t="str">
        <x:v>COLLECT</x:v>
      </x:c>
      <x:c r="D116" s="20" t="str">
        <x:v>CUSTOMER_SUPPORT</x:v>
      </x:c>
      <x:c r="E116" s="20" t="str">
        <x:v>按清单向商户/内部团队补证，并标记来源、时间和矛盾</x:v>
      </x:c>
      <x:c r="F116" s="20" t="str">
        <x:v>证据存在性与缺失项已登记</x:v>
      </x:c>
      <x:c r="G116" s="20" t="str">
        <x:v>继承案件截止时间</x:v>
      </x:c>
      <x:c r="H116" s="20" t="str"/>
    </x:row>
    <x:row r="117" ht="66" customHeight="1">
      <x:c r="A117" s="20" t="str">
        <x:v>SYN-005</x:v>
      </x:c>
      <x:c r="B117" s="23" t="n">
        <x:v>4</x:v>
      </x:c>
      <x:c r="C117" s="20" t="str">
        <x:v>REVIEW</x:v>
      </x:c>
      <x:c r="D117" s="20" t="str">
        <x:v>RISK</x:v>
      </x:c>
      <x:c r="E117" s="20" t="str">
        <x:v>检查证据相关性、真实性、格式、页数、金额和时限</x:v>
      </x:c>
      <x:c r="F117" s="20" t="str">
        <x:v>形成接受/申诉/升级建议</x:v>
      </x:c>
      <x:c r="G117" s="20" t="str">
        <x:v>继承案件截止时间</x:v>
      </x:c>
      <x:c r="H117" s="20" t="str">
        <x:v>POLICY_REVIEW</x:v>
      </x:c>
    </x:row>
    <x:row r="118" ht="66" customHeight="1">
      <x:c r="A118" s="20" t="str">
        <x:v>SYN-005</x:v>
      </x:c>
      <x:c r="B118" s="23" t="n">
        <x:v>5</x:v>
      </x:c>
      <x:c r="C118" s="20" t="str">
        <x:v>DECIDE</x:v>
      </x:c>
      <x:c r="D118" s="20" t="str">
        <x:v>CUSTOMER_SUPPORT</x:v>
      </x:c>
      <x:c r="E118" s="20" t="str">
        <x:v>人工确认后决定是否提交申诉</x:v>
      </x:c>
      <x:c r="F118" s="20" t="str">
        <x:v>保留人工决定与理由</x:v>
      </x:c>
      <x:c r="G118" s="20" t="str">
        <x:v>继承案件截止时间</x:v>
      </x:c>
      <x:c r="H118" s="20" t="str"/>
    </x:row>
    <x:row r="119" ht="66" customHeight="1">
      <x:c r="A119" s="20" t="str">
        <x:v>SYN-005</x:v>
      </x:c>
      <x:c r="B119" s="23" t="n">
        <x:v>6</x:v>
      </x:c>
      <x:c r="C119" s="20" t="str">
        <x:v>PACKAGE</x:v>
      </x:c>
      <x:c r="D119" s="20" t="str">
        <x:v>PSP_SUPPORT</x:v>
      </x:c>
      <x:c r="E119" s="20" t="str">
        <x:v>按事实时间线打包，去除敏感信息，不把无关材料堆入证据包</x:v>
      </x:c>
      <x:c r="F119" s="20" t="str">
        <x:v>证据包可读、可追溯、格式合规</x:v>
      </x:c>
      <x:c r="G119" s="20" t="str">
        <x:v>继承案件截止时间</x:v>
      </x:c>
      <x:c r="H119" s="20" t="str"/>
    </x:row>
    <x:row r="120" ht="66" customHeight="1">
      <x:c r="A120" s="20" t="str">
        <x:v>SYN-005</x:v>
      </x:c>
      <x:c r="B120" s="23" t="n">
        <x:v>7</x:v>
      </x:c>
      <x:c r="C120" s="20" t="str">
        <x:v>OUTCOME</x:v>
      </x:c>
      <x:c r="D120" s="20" t="str">
        <x:v>FINANCE</x:v>
      </x:c>
      <x:c r="E120" s="20" t="str">
        <x:v>记录拒付结果=EXPECTED_WON；裁决结果=NOT_APPLICABLE，并核对临时贷记/退款/再扣款</x:v>
      </x:c>
      <x:c r="F120" s="20" t="str">
        <x:v>结果层级与资金状态分开落库</x:v>
      </x:c>
      <x:c r="G120" s="20" t="str">
        <x:v>继承案件截止时间</x:v>
      </x:c>
      <x:c r="H120" s="20" t="str"/>
    </x:row>
    <x:row r="121" ht="66" customHeight="1">
      <x:c r="A121" s="20" t="str">
        <x:v>SYN-006</x:v>
      </x:c>
      <x:c r="B121" s="23" t="n">
        <x:v>1</x:v>
      </x:c>
      <x:c r="C121" s="20" t="str">
        <x:v>INTAKE</x:v>
      </x:c>
      <x:c r="D121" s="20" t="str">
        <x:v>PSP_SUPPORT</x:v>
      </x:c>
      <x:c r="E121" s="20" t="str">
        <x:v>接收争议通知，记录金额、理由、截止时间与资金状态</x:v>
      </x:c>
      <x:c r="F121" s="20" t="str">
        <x:v>案件主键与截止时间已建立</x:v>
      </x:c>
      <x:c r="G121" s="20" t="str">
        <x:v>以实际通知为准；示例不声明统一时限</x:v>
      </x:c>
      <x:c r="H121" s="20" t="str"/>
    </x:row>
    <x:row r="122" ht="66" customHeight="1">
      <x:c r="A122" s="20" t="str">
        <x:v>SYN-006</x:v>
      </x:c>
      <x:c r="B122" s="23" t="n">
        <x:v>2</x:v>
      </x:c>
      <x:c r="C122" s="20" t="str">
        <x:v>CLASSIFY</x:v>
      </x:c>
      <x:c r="D122" s="20" t="str">
        <x:v>CUSTOMER_SUPPORT</x:v>
      </x:c>
      <x:c r="E122" s="20" t="str">
        <x:v>核对持卡人主张、交易事实与理由族，识别是否选错理由</x:v>
      </x:c>
      <x:c r="F122" s="20" t="str">
        <x:v>理由族已确认或转人工</x:v>
      </x:c>
      <x:c r="G122" s="20" t="str">
        <x:v>继承案件截止时间</x:v>
      </x:c>
      <x:c r="H122" s="20" t="str"/>
    </x:row>
    <x:row r="123" ht="66" customHeight="1">
      <x:c r="A123" s="20" t="str">
        <x:v>SYN-006</x:v>
      </x:c>
      <x:c r="B123" s="23" t="n">
        <x:v>3</x:v>
      </x:c>
      <x:c r="C123" s="20" t="str">
        <x:v>COLLECT</x:v>
      </x:c>
      <x:c r="D123" s="20" t="str">
        <x:v>CUSTOMER_SUPPORT</x:v>
      </x:c>
      <x:c r="E123" s="20" t="str">
        <x:v>按清单向商户/内部团队补证，并标记来源、时间和矛盾</x:v>
      </x:c>
      <x:c r="F123" s="20" t="str">
        <x:v>证据存在性与缺失项已登记</x:v>
      </x:c>
      <x:c r="G123" s="20" t="str">
        <x:v>继承案件截止时间</x:v>
      </x:c>
      <x:c r="H123" s="20" t="str"/>
    </x:row>
    <x:row r="124" ht="66" customHeight="1">
      <x:c r="A124" s="20" t="str">
        <x:v>SYN-006</x:v>
      </x:c>
      <x:c r="B124" s="23" t="n">
        <x:v>4</x:v>
      </x:c>
      <x:c r="C124" s="20" t="str">
        <x:v>REVIEW</x:v>
      </x:c>
      <x:c r="D124" s="20" t="str">
        <x:v>RISK</x:v>
      </x:c>
      <x:c r="E124" s="20" t="str">
        <x:v>检查证据相关性、真实性、格式、页数、金额和时限</x:v>
      </x:c>
      <x:c r="F124" s="20" t="str">
        <x:v>形成接受/申诉/升级建议</x:v>
      </x:c>
      <x:c r="G124" s="20" t="str">
        <x:v>继承案件截止时间</x:v>
      </x:c>
      <x:c r="H124" s="20" t="str">
        <x:v>CONFLICT_OR_WEAK_EVIDENCE</x:v>
      </x:c>
    </x:row>
    <x:row r="125" ht="66" customHeight="1">
      <x:c r="A125" s="20" t="str">
        <x:v>SYN-006</x:v>
      </x:c>
      <x:c r="B125" s="23" t="n">
        <x:v>5</x:v>
      </x:c>
      <x:c r="C125" s="20" t="str">
        <x:v>DECIDE</x:v>
      </x:c>
      <x:c r="D125" s="20" t="str">
        <x:v>CUSTOMER_SUPPORT</x:v>
      </x:c>
      <x:c r="E125" s="20" t="str">
        <x:v>人工确认后决定是否提交申诉</x:v>
      </x:c>
      <x:c r="F125" s="20" t="str">
        <x:v>保留人工决定与理由</x:v>
      </x:c>
      <x:c r="G125" s="20" t="str">
        <x:v>继承案件截止时间</x:v>
      </x:c>
      <x:c r="H125" s="20" t="str"/>
    </x:row>
    <x:row r="126" ht="66" customHeight="1">
      <x:c r="A126" s="20" t="str">
        <x:v>SYN-006</x:v>
      </x:c>
      <x:c r="B126" s="23" t="n">
        <x:v>6</x:v>
      </x:c>
      <x:c r="C126" s="20" t="str">
        <x:v>PACKAGE</x:v>
      </x:c>
      <x:c r="D126" s="20" t="str">
        <x:v>PSP_SUPPORT</x:v>
      </x:c>
      <x:c r="E126" s="20" t="str">
        <x:v>按事实时间线打包，去除敏感信息，不把无关材料堆入证据包</x:v>
      </x:c>
      <x:c r="F126" s="20" t="str">
        <x:v>证据包可读、可追溯、格式合规</x:v>
      </x:c>
      <x:c r="G126" s="20" t="str">
        <x:v>继承案件截止时间</x:v>
      </x:c>
      <x:c r="H126" s="20" t="str"/>
    </x:row>
    <x:row r="127" ht="66" customHeight="1">
      <x:c r="A127" s="20" t="str">
        <x:v>SYN-006</x:v>
      </x:c>
      <x:c r="B127" s="23" t="n">
        <x:v>7</x:v>
      </x:c>
      <x:c r="C127" s="20" t="str">
        <x:v>OUTCOME</x:v>
      </x:c>
      <x:c r="D127" s="20" t="str">
        <x:v>FINANCE</x:v>
      </x:c>
      <x:c r="E127" s="20" t="str">
        <x:v>记录拒付结果=EXPECTED_PENDING；裁决结果=NOT_APPLICABLE，并核对临时贷记/退款/再扣款</x:v>
      </x:c>
      <x:c r="F127" s="20" t="str">
        <x:v>结果层级与资金状态分开落库</x:v>
      </x:c>
      <x:c r="G127" s="20" t="str">
        <x:v>继承案件截止时间</x:v>
      </x:c>
      <x:c r="H127" s="20" t="str"/>
    </x:row>
    <x:row r="128" ht="66" customHeight="1">
      <x:c r="A128" s="20" t="str">
        <x:v>SYN-007</x:v>
      </x:c>
      <x:c r="B128" s="23" t="n">
        <x:v>1</x:v>
      </x:c>
      <x:c r="C128" s="20" t="str">
        <x:v>INTAKE</x:v>
      </x:c>
      <x:c r="D128" s="20" t="str">
        <x:v>PSP_SUPPORT</x:v>
      </x:c>
      <x:c r="E128" s="20" t="str">
        <x:v>接收争议通知，记录金额、理由、截止时间与资金状态</x:v>
      </x:c>
      <x:c r="F128" s="20" t="str">
        <x:v>案件主键与截止时间已建立</x:v>
      </x:c>
      <x:c r="G128" s="20" t="str">
        <x:v>以实际通知为准；示例不声明统一时限</x:v>
      </x:c>
      <x:c r="H128" s="20" t="str"/>
    </x:row>
    <x:row r="129" ht="66" customHeight="1">
      <x:c r="A129" s="20" t="str">
        <x:v>SYN-007</x:v>
      </x:c>
      <x:c r="B129" s="23" t="n">
        <x:v>2</x:v>
      </x:c>
      <x:c r="C129" s="20" t="str">
        <x:v>CLASSIFY</x:v>
      </x:c>
      <x:c r="D129" s="20" t="str">
        <x:v>CUSTOMER_SUPPORT</x:v>
      </x:c>
      <x:c r="E129" s="20" t="str">
        <x:v>核对持卡人主张、交易事实与理由族，识别是否选错理由</x:v>
      </x:c>
      <x:c r="F129" s="20" t="str">
        <x:v>理由族已确认或转人工</x:v>
      </x:c>
      <x:c r="G129" s="20" t="str">
        <x:v>继承案件截止时间</x:v>
      </x:c>
      <x:c r="H129" s="20" t="str"/>
    </x:row>
    <x:row r="130" ht="66" customHeight="1">
      <x:c r="A130" s="20" t="str">
        <x:v>SYN-007</x:v>
      </x:c>
      <x:c r="B130" s="23" t="n">
        <x:v>3</x:v>
      </x:c>
      <x:c r="C130" s="20" t="str">
        <x:v>COLLECT</x:v>
      </x:c>
      <x:c r="D130" s="20" t="str">
        <x:v>CUSTOMER_SUPPORT</x:v>
      </x:c>
      <x:c r="E130" s="20" t="str">
        <x:v>按清单向商户/内部团队补证，并标记来源、时间和矛盾</x:v>
      </x:c>
      <x:c r="F130" s="20" t="str">
        <x:v>证据存在性与缺失项已登记</x:v>
      </x:c>
      <x:c r="G130" s="20" t="str">
        <x:v>继承案件截止时间</x:v>
      </x:c>
      <x:c r="H130" s="20" t="str"/>
    </x:row>
    <x:row r="131" ht="66" customHeight="1">
      <x:c r="A131" s="20" t="str">
        <x:v>SYN-007</x:v>
      </x:c>
      <x:c r="B131" s="23" t="n">
        <x:v>4</x:v>
      </x:c>
      <x:c r="C131" s="20" t="str">
        <x:v>REVIEW</x:v>
      </x:c>
      <x:c r="D131" s="20" t="str">
        <x:v>RISK</x:v>
      </x:c>
      <x:c r="E131" s="20" t="str">
        <x:v>检查证据相关性、真实性、格式、页数、金额和时限</x:v>
      </x:c>
      <x:c r="F131" s="20" t="str">
        <x:v>形成接受/申诉/升级建议</x:v>
      </x:c>
      <x:c r="G131" s="20" t="str">
        <x:v>继承案件截止时间</x:v>
      </x:c>
      <x:c r="H131" s="20" t="str">
        <x:v>POLICY_REVIEW</x:v>
      </x:c>
    </x:row>
    <x:row r="132" ht="66" customHeight="1">
      <x:c r="A132" s="20" t="str">
        <x:v>SYN-007</x:v>
      </x:c>
      <x:c r="B132" s="23" t="n">
        <x:v>5</x:v>
      </x:c>
      <x:c r="C132" s="20" t="str">
        <x:v>DECIDE</x:v>
      </x:c>
      <x:c r="D132" s="20" t="str">
        <x:v>CUSTOMER_SUPPORT</x:v>
      </x:c>
      <x:c r="E132" s="20" t="str">
        <x:v>人工确认后决定是否提交申诉</x:v>
      </x:c>
      <x:c r="F132" s="20" t="str">
        <x:v>保留人工决定与理由</x:v>
      </x:c>
      <x:c r="G132" s="20" t="str">
        <x:v>继承案件截止时间</x:v>
      </x:c>
      <x:c r="H132" s="20" t="str"/>
    </x:row>
    <x:row r="133" ht="66" customHeight="1">
      <x:c r="A133" s="20" t="str">
        <x:v>SYN-007</x:v>
      </x:c>
      <x:c r="B133" s="23" t="n">
        <x:v>6</x:v>
      </x:c>
      <x:c r="C133" s="20" t="str">
        <x:v>PACKAGE</x:v>
      </x:c>
      <x:c r="D133" s="20" t="str">
        <x:v>PSP_SUPPORT</x:v>
      </x:c>
      <x:c r="E133" s="20" t="str">
        <x:v>按事实时间线打包，去除敏感信息，不把无关材料堆入证据包</x:v>
      </x:c>
      <x:c r="F133" s="20" t="str">
        <x:v>证据包可读、可追溯、格式合规</x:v>
      </x:c>
      <x:c r="G133" s="20" t="str">
        <x:v>继承案件截止时间</x:v>
      </x:c>
      <x:c r="H133" s="20" t="str"/>
    </x:row>
    <x:row r="134" ht="66" customHeight="1">
      <x:c r="A134" s="20" t="str">
        <x:v>SYN-007</x:v>
      </x:c>
      <x:c r="B134" s="23" t="n">
        <x:v>7</x:v>
      </x:c>
      <x:c r="C134" s="20" t="str">
        <x:v>OUTCOME</x:v>
      </x:c>
      <x:c r="D134" s="20" t="str">
        <x:v>FINANCE</x:v>
      </x:c>
      <x:c r="E134" s="20" t="str">
        <x:v>记录拒付结果=EXPECTED_WON；裁决结果=NOT_APPLICABLE，并核对临时贷记/退款/再扣款</x:v>
      </x:c>
      <x:c r="F134" s="20" t="str">
        <x:v>结果层级与资金状态分开落库</x:v>
      </x:c>
      <x:c r="G134" s="20" t="str">
        <x:v>继承案件截止时间</x:v>
      </x:c>
      <x:c r="H134" s="20" t="str"/>
    </x:row>
    <x:row r="135" ht="66" customHeight="1">
      <x:c r="A135" s="20" t="str">
        <x:v>SYN-008</x:v>
      </x:c>
      <x:c r="B135" s="23" t="n">
        <x:v>1</x:v>
      </x:c>
      <x:c r="C135" s="20" t="str">
        <x:v>INTAKE</x:v>
      </x:c>
      <x:c r="D135" s="20" t="str">
        <x:v>PSP_SUPPORT</x:v>
      </x:c>
      <x:c r="E135" s="20" t="str">
        <x:v>接收争议通知，记录金额、理由、截止时间与资金状态</x:v>
      </x:c>
      <x:c r="F135" s="20" t="str">
        <x:v>案件主键与截止时间已建立</x:v>
      </x:c>
      <x:c r="G135" s="20" t="str">
        <x:v>以实际通知为准；示例不声明统一时限</x:v>
      </x:c>
      <x:c r="H135" s="20" t="str"/>
    </x:row>
    <x:row r="136" ht="66" customHeight="1">
      <x:c r="A136" s="20" t="str">
        <x:v>SYN-008</x:v>
      </x:c>
      <x:c r="B136" s="23" t="n">
        <x:v>2</x:v>
      </x:c>
      <x:c r="C136" s="20" t="str">
        <x:v>CLASSIFY</x:v>
      </x:c>
      <x:c r="D136" s="20" t="str">
        <x:v>CUSTOMER_SUPPORT</x:v>
      </x:c>
      <x:c r="E136" s="20" t="str">
        <x:v>核对持卡人主张、交易事实与理由族，识别是否选错理由</x:v>
      </x:c>
      <x:c r="F136" s="20" t="str">
        <x:v>理由族已确认或转人工</x:v>
      </x:c>
      <x:c r="G136" s="20" t="str">
        <x:v>继承案件截止时间</x:v>
      </x:c>
      <x:c r="H136" s="20" t="str"/>
    </x:row>
    <x:row r="137" ht="66" customHeight="1">
      <x:c r="A137" s="20" t="str">
        <x:v>SYN-008</x:v>
      </x:c>
      <x:c r="B137" s="23" t="n">
        <x:v>3</x:v>
      </x:c>
      <x:c r="C137" s="20" t="str">
        <x:v>COLLECT</x:v>
      </x:c>
      <x:c r="D137" s="20" t="str">
        <x:v>CUSTOMER_SUPPORT</x:v>
      </x:c>
      <x:c r="E137" s="20" t="str">
        <x:v>按清单向商户/内部团队补证，并标记来源、时间和矛盾</x:v>
      </x:c>
      <x:c r="F137" s="20" t="str">
        <x:v>证据存在性与缺失项已登记</x:v>
      </x:c>
      <x:c r="G137" s="20" t="str">
        <x:v>继承案件截止时间</x:v>
      </x:c>
      <x:c r="H137" s="20" t="str"/>
    </x:row>
    <x:row r="138" ht="66" customHeight="1">
      <x:c r="A138" s="20" t="str">
        <x:v>SYN-008</x:v>
      </x:c>
      <x:c r="B138" s="23" t="n">
        <x:v>4</x:v>
      </x:c>
      <x:c r="C138" s="20" t="str">
        <x:v>REVIEW</x:v>
      </x:c>
      <x:c r="D138" s="20" t="str">
        <x:v>RISK</x:v>
      </x:c>
      <x:c r="E138" s="20" t="str">
        <x:v>检查证据相关性、真实性、格式、页数、金额和时限</x:v>
      </x:c>
      <x:c r="F138" s="20" t="str">
        <x:v>形成接受/申诉/升级建议</x:v>
      </x:c>
      <x:c r="G138" s="20" t="str">
        <x:v>继承案件截止时间</x:v>
      </x:c>
      <x:c r="H138" s="20" t="str">
        <x:v>CONFLICT_OR_WEAK_EVIDENCE</x:v>
      </x:c>
    </x:row>
    <x:row r="139" ht="66" customHeight="1">
      <x:c r="A139" s="20" t="str">
        <x:v>SYN-008</x:v>
      </x:c>
      <x:c r="B139" s="23" t="n">
        <x:v>5</x:v>
      </x:c>
      <x:c r="C139" s="20" t="str">
        <x:v>DECIDE</x:v>
      </x:c>
      <x:c r="D139" s="20" t="str">
        <x:v>CUSTOMER_SUPPORT</x:v>
      </x:c>
      <x:c r="E139" s="20" t="str">
        <x:v>建议接受或先补关键证据，避免无效抗辩</x:v>
      </x:c>
      <x:c r="F139" s="20" t="str">
        <x:v>保留人工决定与理由</x:v>
      </x:c>
      <x:c r="G139" s="20" t="str">
        <x:v>继承案件截止时间</x:v>
      </x:c>
      <x:c r="H139" s="20" t="str"/>
    </x:row>
    <x:row r="140" ht="66" customHeight="1">
      <x:c r="A140" s="20" t="str">
        <x:v>SYN-008</x:v>
      </x:c>
      <x:c r="B140" s="23" t="n">
        <x:v>6</x:v>
      </x:c>
      <x:c r="C140" s="20" t="str">
        <x:v>PACKAGE</x:v>
      </x:c>
      <x:c r="D140" s="20" t="str">
        <x:v>PSP_SUPPORT</x:v>
      </x:c>
      <x:c r="E140" s="20" t="str">
        <x:v>按事实时间线打包，去除敏感信息，不把无关材料堆入证据包</x:v>
      </x:c>
      <x:c r="F140" s="20" t="str">
        <x:v>证据包可读、可追溯、格式合规</x:v>
      </x:c>
      <x:c r="G140" s="20" t="str">
        <x:v>继承案件截止时间</x:v>
      </x:c>
      <x:c r="H140" s="20" t="str"/>
    </x:row>
    <x:row r="141" ht="66" customHeight="1">
      <x:c r="A141" s="20" t="str">
        <x:v>SYN-008</x:v>
      </x:c>
      <x:c r="B141" s="23" t="n">
        <x:v>7</x:v>
      </x:c>
      <x:c r="C141" s="20" t="str">
        <x:v>OUTCOME</x:v>
      </x:c>
      <x:c r="D141" s="20" t="str">
        <x:v>FINANCE</x:v>
      </x:c>
      <x:c r="E141" s="20" t="str">
        <x:v>记录拒付结果=EXPECTED_LOST；裁决结果=NOT_APPLICABLE，并核对临时贷记/退款/再扣款</x:v>
      </x:c>
      <x:c r="F141" s="20" t="str">
        <x:v>结果层级与资金状态分开落库</x:v>
      </x:c>
      <x:c r="G141" s="20" t="str">
        <x:v>继承案件截止时间</x:v>
      </x:c>
      <x:c r="H141" s="20" t="str"/>
    </x:row>
    <x:row r="142" ht="66" customHeight="1">
      <x:c r="A142" s="20" t="str">
        <x:v>SYN-009</x:v>
      </x:c>
      <x:c r="B142" s="23" t="n">
        <x:v>1</x:v>
      </x:c>
      <x:c r="C142" s="20" t="str">
        <x:v>INTAKE</x:v>
      </x:c>
      <x:c r="D142" s="20" t="str">
        <x:v>PSP_SUPPORT</x:v>
      </x:c>
      <x:c r="E142" s="20" t="str">
        <x:v>接收争议通知，记录金额、理由、截止时间与资金状态</x:v>
      </x:c>
      <x:c r="F142" s="20" t="str">
        <x:v>案件主键与截止时间已建立</x:v>
      </x:c>
      <x:c r="G142" s="20" t="str">
        <x:v>以实际通知为准；示例不声明统一时限</x:v>
      </x:c>
      <x:c r="H142" s="20" t="str"/>
    </x:row>
    <x:row r="143" ht="66" customHeight="1">
      <x:c r="A143" s="20" t="str">
        <x:v>SYN-009</x:v>
      </x:c>
      <x:c r="B143" s="23" t="n">
        <x:v>2</x:v>
      </x:c>
      <x:c r="C143" s="20" t="str">
        <x:v>CLASSIFY</x:v>
      </x:c>
      <x:c r="D143" s="20" t="str">
        <x:v>BUSINESS</x:v>
      </x:c>
      <x:c r="E143" s="20" t="str">
        <x:v>核对持卡人主张、交易事实与理由族，识别是否选错理由</x:v>
      </x:c>
      <x:c r="F143" s="20" t="str">
        <x:v>理由族已确认或转人工</x:v>
      </x:c>
      <x:c r="G143" s="20" t="str">
        <x:v>继承案件截止时间</x:v>
      </x:c>
      <x:c r="H143" s="20" t="str"/>
    </x:row>
    <x:row r="144" ht="66" customHeight="1">
      <x:c r="A144" s="20" t="str">
        <x:v>SYN-009</x:v>
      </x:c>
      <x:c r="B144" s="23" t="n">
        <x:v>3</x:v>
      </x:c>
      <x:c r="C144" s="20" t="str">
        <x:v>COLLECT</x:v>
      </x:c>
      <x:c r="D144" s="20" t="str">
        <x:v>BUSINESS</x:v>
      </x:c>
      <x:c r="E144" s="20" t="str">
        <x:v>按清单向商户/内部团队补证，并标记来源、时间和矛盾</x:v>
      </x:c>
      <x:c r="F144" s="20" t="str">
        <x:v>证据存在性与缺失项已登记</x:v>
      </x:c>
      <x:c r="G144" s="20" t="str">
        <x:v>继承案件截止时间</x:v>
      </x:c>
      <x:c r="H144" s="20" t="str"/>
    </x:row>
    <x:row r="145" ht="66" customHeight="1">
      <x:c r="A145" s="20" t="str">
        <x:v>SYN-009</x:v>
      </x:c>
      <x:c r="B145" s="23" t="n">
        <x:v>4</x:v>
      </x:c>
      <x:c r="C145" s="20" t="str">
        <x:v>REVIEW</x:v>
      </x:c>
      <x:c r="D145" s="20" t="str">
        <x:v>RISK</x:v>
      </x:c>
      <x:c r="E145" s="20" t="str">
        <x:v>检查证据相关性、真实性、格式、页数、金额和时限</x:v>
      </x:c>
      <x:c r="F145" s="20" t="str">
        <x:v>形成接受/申诉/升级建议</x:v>
      </x:c>
      <x:c r="G145" s="20" t="str">
        <x:v>继承案件截止时间</x:v>
      </x:c>
      <x:c r="H145" s="20" t="str">
        <x:v>CONFLICT_OR_WEAK_EVIDENCE</x:v>
      </x:c>
    </x:row>
    <x:row r="146" ht="66" customHeight="1">
      <x:c r="A146" s="20" t="str">
        <x:v>SYN-009</x:v>
      </x:c>
      <x:c r="B146" s="23" t="n">
        <x:v>5</x:v>
      </x:c>
      <x:c r="C146" s="20" t="str">
        <x:v>DECIDE</x:v>
      </x:c>
      <x:c r="D146" s="20" t="str">
        <x:v>BUSINESS</x:v>
      </x:c>
      <x:c r="E146" s="20" t="str">
        <x:v>建议接受或先补关键证据，避免无效抗辩</x:v>
      </x:c>
      <x:c r="F146" s="20" t="str">
        <x:v>保留人工决定与理由</x:v>
      </x:c>
      <x:c r="G146" s="20" t="str">
        <x:v>继承案件截止时间</x:v>
      </x:c>
      <x:c r="H146" s="20" t="str"/>
    </x:row>
    <x:row r="147" ht="66" customHeight="1">
      <x:c r="A147" s="20" t="str">
        <x:v>SYN-009</x:v>
      </x:c>
      <x:c r="B147" s="23" t="n">
        <x:v>6</x:v>
      </x:c>
      <x:c r="C147" s="20" t="str">
        <x:v>PACKAGE</x:v>
      </x:c>
      <x:c r="D147" s="20" t="str">
        <x:v>PSP_SUPPORT</x:v>
      </x:c>
      <x:c r="E147" s="20" t="str">
        <x:v>按事实时间线打包，去除敏感信息，不把无关材料堆入证据包</x:v>
      </x:c>
      <x:c r="F147" s="20" t="str">
        <x:v>证据包可读、可追溯、格式合规</x:v>
      </x:c>
      <x:c r="G147" s="20" t="str">
        <x:v>继承案件截止时间</x:v>
      </x:c>
      <x:c r="H147" s="20" t="str"/>
    </x:row>
    <x:row r="148" ht="66" customHeight="1">
      <x:c r="A148" s="20" t="str">
        <x:v>SYN-009</x:v>
      </x:c>
      <x:c r="B148" s="23" t="n">
        <x:v>7</x:v>
      </x:c>
      <x:c r="C148" s="20" t="str">
        <x:v>OUTCOME</x:v>
      </x:c>
      <x:c r="D148" s="20" t="str">
        <x:v>FINANCE</x:v>
      </x:c>
      <x:c r="E148" s="20" t="str">
        <x:v>记录拒付结果=EXPECTED_LOST；裁决结果=NOT_APPLICABLE，并核对临时贷记/退款/再扣款</x:v>
      </x:c>
      <x:c r="F148" s="20" t="str">
        <x:v>结果层级与资金状态分开落库</x:v>
      </x:c>
      <x:c r="G148" s="20" t="str">
        <x:v>继承案件截止时间</x:v>
      </x:c>
      <x:c r="H148" s="20" t="str"/>
    </x:row>
    <x:row r="149" ht="66" customHeight="1">
      <x:c r="A149" s="20" t="str">
        <x:v>SYN-010</x:v>
      </x:c>
      <x:c r="B149" s="23" t="n">
        <x:v>1</x:v>
      </x:c>
      <x:c r="C149" s="20" t="str">
        <x:v>INTAKE</x:v>
      </x:c>
      <x:c r="D149" s="20" t="str">
        <x:v>PSP_SUPPORT</x:v>
      </x:c>
      <x:c r="E149" s="20" t="str">
        <x:v>接收争议通知，记录金额、理由、截止时间与资金状态</x:v>
      </x:c>
      <x:c r="F149" s="20" t="str">
        <x:v>案件主键与截止时间已建立</x:v>
      </x:c>
      <x:c r="G149" s="20" t="str">
        <x:v>以实际通知为准；示例不声明统一时限</x:v>
      </x:c>
      <x:c r="H149" s="20" t="str"/>
    </x:row>
    <x:row r="150" ht="66" customHeight="1">
      <x:c r="A150" s="20" t="str">
        <x:v>SYN-010</x:v>
      </x:c>
      <x:c r="B150" s="23" t="n">
        <x:v>2</x:v>
      </x:c>
      <x:c r="C150" s="20" t="str">
        <x:v>CLASSIFY</x:v>
      </x:c>
      <x:c r="D150" s="20" t="str">
        <x:v>BUSINESS</x:v>
      </x:c>
      <x:c r="E150" s="20" t="str">
        <x:v>核对持卡人主张、交易事实与理由族，识别是否选错理由</x:v>
      </x:c>
      <x:c r="F150" s="20" t="str">
        <x:v>理由族已确认或转人工</x:v>
      </x:c>
      <x:c r="G150" s="20" t="str">
        <x:v>继承案件截止时间</x:v>
      </x:c>
      <x:c r="H150" s="20" t="str"/>
    </x:row>
    <x:row r="151" ht="66" customHeight="1">
      <x:c r="A151" s="20" t="str">
        <x:v>SYN-010</x:v>
      </x:c>
      <x:c r="B151" s="23" t="n">
        <x:v>3</x:v>
      </x:c>
      <x:c r="C151" s="20" t="str">
        <x:v>COLLECT</x:v>
      </x:c>
      <x:c r="D151" s="20" t="str">
        <x:v>BUSINESS</x:v>
      </x:c>
      <x:c r="E151" s="20" t="str">
        <x:v>按清单向商户/内部团队补证，并标记来源、时间和矛盾</x:v>
      </x:c>
      <x:c r="F151" s="20" t="str">
        <x:v>证据存在性与缺失项已登记</x:v>
      </x:c>
      <x:c r="G151" s="20" t="str">
        <x:v>继承案件截止时间</x:v>
      </x:c>
      <x:c r="H151" s="20" t="str"/>
    </x:row>
    <x:row r="152" ht="66" customHeight="1">
      <x:c r="A152" s="20" t="str">
        <x:v>SYN-010</x:v>
      </x:c>
      <x:c r="B152" s="23" t="n">
        <x:v>4</x:v>
      </x:c>
      <x:c r="C152" s="20" t="str">
        <x:v>REVIEW</x:v>
      </x:c>
      <x:c r="D152" s="20" t="str">
        <x:v>RISK</x:v>
      </x:c>
      <x:c r="E152" s="20" t="str">
        <x:v>检查证据相关性、真实性、格式、页数、金额和时限</x:v>
      </x:c>
      <x:c r="F152" s="20" t="str">
        <x:v>形成接受/申诉/升级建议</x:v>
      </x:c>
      <x:c r="G152" s="20" t="str">
        <x:v>继承案件截止时间</x:v>
      </x:c>
      <x:c r="H152" s="20" t="str">
        <x:v>POLICY_REVIEW</x:v>
      </x:c>
    </x:row>
    <x:row r="153" ht="66" customHeight="1">
      <x:c r="A153" s="20" t="str">
        <x:v>SYN-010</x:v>
      </x:c>
      <x:c r="B153" s="23" t="n">
        <x:v>5</x:v>
      </x:c>
      <x:c r="C153" s="20" t="str">
        <x:v>DECIDE</x:v>
      </x:c>
      <x:c r="D153" s="20" t="str">
        <x:v>BUSINESS</x:v>
      </x:c>
      <x:c r="E153" s="20" t="str">
        <x:v>人工确认后决定是否提交申诉</x:v>
      </x:c>
      <x:c r="F153" s="20" t="str">
        <x:v>保留人工决定与理由</x:v>
      </x:c>
      <x:c r="G153" s="20" t="str">
        <x:v>继承案件截止时间</x:v>
      </x:c>
      <x:c r="H153" s="20" t="str"/>
    </x:row>
    <x:row r="154" ht="66" customHeight="1">
      <x:c r="A154" s="20" t="str">
        <x:v>SYN-010</x:v>
      </x:c>
      <x:c r="B154" s="23" t="n">
        <x:v>6</x:v>
      </x:c>
      <x:c r="C154" s="20" t="str">
        <x:v>PACKAGE</x:v>
      </x:c>
      <x:c r="D154" s="20" t="str">
        <x:v>PSP_SUPPORT</x:v>
      </x:c>
      <x:c r="E154" s="20" t="str">
        <x:v>按事实时间线打包，去除敏感信息，不把无关材料堆入证据包</x:v>
      </x:c>
      <x:c r="F154" s="20" t="str">
        <x:v>证据包可读、可追溯、格式合规</x:v>
      </x:c>
      <x:c r="G154" s="20" t="str">
        <x:v>继承案件截止时间</x:v>
      </x:c>
      <x:c r="H154" s="20" t="str"/>
    </x:row>
    <x:row r="155" ht="66" customHeight="1">
      <x:c r="A155" s="20" t="str">
        <x:v>SYN-010</x:v>
      </x:c>
      <x:c r="B155" s="23" t="n">
        <x:v>7</x:v>
      </x:c>
      <x:c r="C155" s="20" t="str">
        <x:v>OUTCOME</x:v>
      </x:c>
      <x:c r="D155" s="20" t="str">
        <x:v>FINANCE</x:v>
      </x:c>
      <x:c r="E155" s="20" t="str">
        <x:v>记录拒付结果=EXPECTED_WON；裁决结果=NOT_APPLICABLE，并核对临时贷记/退款/再扣款</x:v>
      </x:c>
      <x:c r="F155" s="20" t="str">
        <x:v>结果层级与资金状态分开落库</x:v>
      </x:c>
      <x:c r="G155" s="20" t="str">
        <x:v>继承案件截止时间</x:v>
      </x:c>
      <x:c r="H155" s="20" t="str"/>
    </x:row>
    <x:row r="156" ht="66" customHeight="1">
      <x:c r="A156" s="20" t="str">
        <x:v>SYN-011</x:v>
      </x:c>
      <x:c r="B156" s="23" t="n">
        <x:v>1</x:v>
      </x:c>
      <x:c r="C156" s="20" t="str">
        <x:v>INTAKE</x:v>
      </x:c>
      <x:c r="D156" s="20" t="str">
        <x:v>PSP_SUPPORT</x:v>
      </x:c>
      <x:c r="E156" s="20" t="str">
        <x:v>接收争议通知，记录金额、理由、截止时间与资金状态</x:v>
      </x:c>
      <x:c r="F156" s="20" t="str">
        <x:v>案件主键与截止时间已建立</x:v>
      </x:c>
      <x:c r="G156" s="20" t="str">
        <x:v>以实际通知为准；示例不声明统一时限</x:v>
      </x:c>
      <x:c r="H156" s="20" t="str"/>
    </x:row>
    <x:row r="157" ht="66" customHeight="1">
      <x:c r="A157" s="20" t="str">
        <x:v>SYN-011</x:v>
      </x:c>
      <x:c r="B157" s="23" t="n">
        <x:v>2</x:v>
      </x:c>
      <x:c r="C157" s="20" t="str">
        <x:v>CLASSIFY</x:v>
      </x:c>
      <x:c r="D157" s="20" t="str">
        <x:v>BUSINESS</x:v>
      </x:c>
      <x:c r="E157" s="20" t="str">
        <x:v>核对持卡人主张、交易事实与理由族，识别是否选错理由</x:v>
      </x:c>
      <x:c r="F157" s="20" t="str">
        <x:v>理由族已确认或转人工</x:v>
      </x:c>
      <x:c r="G157" s="20" t="str">
        <x:v>继承案件截止时间</x:v>
      </x:c>
      <x:c r="H157" s="20" t="str"/>
    </x:row>
    <x:row r="158" ht="66" customHeight="1">
      <x:c r="A158" s="20" t="str">
        <x:v>SYN-011</x:v>
      </x:c>
      <x:c r="B158" s="23" t="n">
        <x:v>3</x:v>
      </x:c>
      <x:c r="C158" s="20" t="str">
        <x:v>COLLECT</x:v>
      </x:c>
      <x:c r="D158" s="20" t="str">
        <x:v>BUSINESS</x:v>
      </x:c>
      <x:c r="E158" s="20" t="str">
        <x:v>按清单向商户/内部团队补证，并标记来源、时间和矛盾</x:v>
      </x:c>
      <x:c r="F158" s="20" t="str">
        <x:v>证据存在性与缺失项已登记</x:v>
      </x:c>
      <x:c r="G158" s="20" t="str">
        <x:v>继承案件截止时间</x:v>
      </x:c>
      <x:c r="H158" s="20" t="str"/>
    </x:row>
    <x:row r="159" ht="66" customHeight="1">
      <x:c r="A159" s="20" t="str">
        <x:v>SYN-011</x:v>
      </x:c>
      <x:c r="B159" s="23" t="n">
        <x:v>4</x:v>
      </x:c>
      <x:c r="C159" s="20" t="str">
        <x:v>REVIEW</x:v>
      </x:c>
      <x:c r="D159" s="20" t="str">
        <x:v>RISK</x:v>
      </x:c>
      <x:c r="E159" s="20" t="str">
        <x:v>检查证据相关性、真实性、格式、页数、金额和时限</x:v>
      </x:c>
      <x:c r="F159" s="20" t="str">
        <x:v>形成接受/申诉/升级建议</x:v>
      </x:c>
      <x:c r="G159" s="20" t="str">
        <x:v>继承案件截止时间</x:v>
      </x:c>
      <x:c r="H159" s="20" t="str">
        <x:v>CONFLICT_OR_WEAK_EVIDENCE</x:v>
      </x:c>
    </x:row>
    <x:row r="160" ht="66" customHeight="1">
      <x:c r="A160" s="20" t="str">
        <x:v>SYN-011</x:v>
      </x:c>
      <x:c r="B160" s="23" t="n">
        <x:v>5</x:v>
      </x:c>
      <x:c r="C160" s="20" t="str">
        <x:v>DECIDE</x:v>
      </x:c>
      <x:c r="D160" s="20" t="str">
        <x:v>BUSINESS</x:v>
      </x:c>
      <x:c r="E160" s="20" t="str">
        <x:v>建议接受或先补关键证据，避免无效抗辩</x:v>
      </x:c>
      <x:c r="F160" s="20" t="str">
        <x:v>保留人工决定与理由</x:v>
      </x:c>
      <x:c r="G160" s="20" t="str">
        <x:v>继承案件截止时间</x:v>
      </x:c>
      <x:c r="H160" s="20" t="str"/>
    </x:row>
    <x:row r="161" ht="66" customHeight="1">
      <x:c r="A161" s="20" t="str">
        <x:v>SYN-011</x:v>
      </x:c>
      <x:c r="B161" s="23" t="n">
        <x:v>6</x:v>
      </x:c>
      <x:c r="C161" s="20" t="str">
        <x:v>PACKAGE</x:v>
      </x:c>
      <x:c r="D161" s="20" t="str">
        <x:v>PSP_SUPPORT</x:v>
      </x:c>
      <x:c r="E161" s="20" t="str">
        <x:v>按事实时间线打包，去除敏感信息，不把无关材料堆入证据包</x:v>
      </x:c>
      <x:c r="F161" s="20" t="str">
        <x:v>证据包可读、可追溯、格式合规</x:v>
      </x:c>
      <x:c r="G161" s="20" t="str">
        <x:v>继承案件截止时间</x:v>
      </x:c>
      <x:c r="H161" s="20" t="str"/>
    </x:row>
    <x:row r="162" ht="66" customHeight="1">
      <x:c r="A162" s="20" t="str">
        <x:v>SYN-011</x:v>
      </x:c>
      <x:c r="B162" s="23" t="n">
        <x:v>7</x:v>
      </x:c>
      <x:c r="C162" s="20" t="str">
        <x:v>OUTCOME</x:v>
      </x:c>
      <x:c r="D162" s="20" t="str">
        <x:v>FINANCE</x:v>
      </x:c>
      <x:c r="E162" s="20" t="str">
        <x:v>记录拒付结果=EXPECTED_LOST；裁决结果=NOT_APPLICABLE，并核对临时贷记/退款/再扣款</x:v>
      </x:c>
      <x:c r="F162" s="20" t="str">
        <x:v>结果层级与资金状态分开落库</x:v>
      </x:c>
      <x:c r="G162" s="20" t="str">
        <x:v>继承案件截止时间</x:v>
      </x:c>
      <x:c r="H162" s="20" t="str"/>
    </x:row>
    <x:row r="163" ht="66" customHeight="1">
      <x:c r="A163" s="20" t="str">
        <x:v>SYN-012</x:v>
      </x:c>
      <x:c r="B163" s="23" t="n">
        <x:v>1</x:v>
      </x:c>
      <x:c r="C163" s="20" t="str">
        <x:v>INTAKE</x:v>
      </x:c>
      <x:c r="D163" s="20" t="str">
        <x:v>PSP_SUPPORT</x:v>
      </x:c>
      <x:c r="E163" s="20" t="str">
        <x:v>接收争议通知，记录金额、理由、截止时间与资金状态</x:v>
      </x:c>
      <x:c r="F163" s="20" t="str">
        <x:v>案件主键与截止时间已建立</x:v>
      </x:c>
      <x:c r="G163" s="20" t="str">
        <x:v>以实际通知为准；示例不声明统一时限</x:v>
      </x:c>
      <x:c r="H163" s="20" t="str"/>
    </x:row>
    <x:row r="164" ht="66" customHeight="1">
      <x:c r="A164" s="20" t="str">
        <x:v>SYN-012</x:v>
      </x:c>
      <x:c r="B164" s="23" t="n">
        <x:v>2</x:v>
      </x:c>
      <x:c r="C164" s="20" t="str">
        <x:v>CLASSIFY</x:v>
      </x:c>
      <x:c r="D164" s="20" t="str">
        <x:v>BUSINESS</x:v>
      </x:c>
      <x:c r="E164" s="20" t="str">
        <x:v>核对持卡人主张、交易事实与理由族，识别是否选错理由</x:v>
      </x:c>
      <x:c r="F164" s="20" t="str">
        <x:v>理由族已确认或转人工</x:v>
      </x:c>
      <x:c r="G164" s="20" t="str">
        <x:v>继承案件截止时间</x:v>
      </x:c>
      <x:c r="H164" s="20" t="str"/>
    </x:row>
    <x:row r="165" ht="66" customHeight="1">
      <x:c r="A165" s="20" t="str">
        <x:v>SYN-012</x:v>
      </x:c>
      <x:c r="B165" s="23" t="n">
        <x:v>3</x:v>
      </x:c>
      <x:c r="C165" s="20" t="str">
        <x:v>COLLECT</x:v>
      </x:c>
      <x:c r="D165" s="20" t="str">
        <x:v>BUSINESS</x:v>
      </x:c>
      <x:c r="E165" s="20" t="str">
        <x:v>按清单向商户/内部团队补证，并标记来源、时间和矛盾</x:v>
      </x:c>
      <x:c r="F165" s="20" t="str">
        <x:v>证据存在性与缺失项已登记</x:v>
      </x:c>
      <x:c r="G165" s="20" t="str">
        <x:v>继承案件截止时间</x:v>
      </x:c>
      <x:c r="H165" s="20" t="str"/>
    </x:row>
    <x:row r="166" ht="66" customHeight="1">
      <x:c r="A166" s="20" t="str">
        <x:v>SYN-012</x:v>
      </x:c>
      <x:c r="B166" s="23" t="n">
        <x:v>4</x:v>
      </x:c>
      <x:c r="C166" s="20" t="str">
        <x:v>REVIEW</x:v>
      </x:c>
      <x:c r="D166" s="20" t="str">
        <x:v>RISK</x:v>
      </x:c>
      <x:c r="E166" s="20" t="str">
        <x:v>检查证据相关性、真实性、格式、页数、金额和时限</x:v>
      </x:c>
      <x:c r="F166" s="20" t="str">
        <x:v>形成接受/申诉/升级建议</x:v>
      </x:c>
      <x:c r="G166" s="20" t="str">
        <x:v>继承案件截止时间</x:v>
      </x:c>
      <x:c r="H166" s="20" t="str">
        <x:v>CONFLICT_OR_WEAK_EVIDENCE</x:v>
      </x:c>
    </x:row>
    <x:row r="167" ht="66" customHeight="1">
      <x:c r="A167" s="20" t="str">
        <x:v>SYN-012</x:v>
      </x:c>
      <x:c r="B167" s="23" t="n">
        <x:v>5</x:v>
      </x:c>
      <x:c r="C167" s="20" t="str">
        <x:v>DECIDE</x:v>
      </x:c>
      <x:c r="D167" s="20" t="str">
        <x:v>BUSINESS</x:v>
      </x:c>
      <x:c r="E167" s="20" t="str">
        <x:v>人工确认后决定是否提交申诉</x:v>
      </x:c>
      <x:c r="F167" s="20" t="str">
        <x:v>保留人工决定与理由</x:v>
      </x:c>
      <x:c r="G167" s="20" t="str">
        <x:v>继承案件截止时间</x:v>
      </x:c>
      <x:c r="H167" s="20" t="str"/>
    </x:row>
    <x:row r="168" ht="66" customHeight="1">
      <x:c r="A168" s="20" t="str">
        <x:v>SYN-012</x:v>
      </x:c>
      <x:c r="B168" s="23" t="n">
        <x:v>6</x:v>
      </x:c>
      <x:c r="C168" s="20" t="str">
        <x:v>PACKAGE</x:v>
      </x:c>
      <x:c r="D168" s="20" t="str">
        <x:v>PSP_SUPPORT</x:v>
      </x:c>
      <x:c r="E168" s="20" t="str">
        <x:v>按事实时间线打包，去除敏感信息，不把无关材料堆入证据包</x:v>
      </x:c>
      <x:c r="F168" s="20" t="str">
        <x:v>证据包可读、可追溯、格式合规</x:v>
      </x:c>
      <x:c r="G168" s="20" t="str">
        <x:v>继承案件截止时间</x:v>
      </x:c>
      <x:c r="H168" s="20" t="str"/>
    </x:row>
    <x:row r="169" ht="66" customHeight="1">
      <x:c r="A169" s="20" t="str">
        <x:v>SYN-012</x:v>
      </x:c>
      <x:c r="B169" s="23" t="n">
        <x:v>7</x:v>
      </x:c>
      <x:c r="C169" s="20" t="str">
        <x:v>OUTCOME</x:v>
      </x:c>
      <x:c r="D169" s="20" t="str">
        <x:v>FINANCE</x:v>
      </x:c>
      <x:c r="E169" s="20" t="str">
        <x:v>记录拒付结果=EXPECTED_PENDING；裁决结果=NOT_APPLICABLE，并核对临时贷记/退款/再扣款</x:v>
      </x:c>
      <x:c r="F169" s="20" t="str">
        <x:v>结果层级与资金状态分开落库</x:v>
      </x:c>
      <x:c r="G169" s="20" t="str">
        <x:v>继承案件截止时间</x:v>
      </x:c>
      <x:c r="H169" s="20" t="str"/>
    </x:row>
    <x:row r="170" ht="66" customHeight="1">
      <x:c r="A170" s="20" t="str">
        <x:v>SYN-013</x:v>
      </x:c>
      <x:c r="B170" s="23" t="n">
        <x:v>1</x:v>
      </x:c>
      <x:c r="C170" s="20" t="str">
        <x:v>INTAKE</x:v>
      </x:c>
      <x:c r="D170" s="20" t="str">
        <x:v>PSP_SUPPORT</x:v>
      </x:c>
      <x:c r="E170" s="20" t="str">
        <x:v>接收争议通知，记录金额、理由、截止时间与资金状态</x:v>
      </x:c>
      <x:c r="F170" s="20" t="str">
        <x:v>案件主键与截止时间已建立</x:v>
      </x:c>
      <x:c r="G170" s="20" t="str">
        <x:v>以实际通知为准；示例不声明统一时限</x:v>
      </x:c>
      <x:c r="H170" s="20" t="str"/>
    </x:row>
    <x:row r="171" ht="66" customHeight="1">
      <x:c r="A171" s="20" t="str">
        <x:v>SYN-013</x:v>
      </x:c>
      <x:c r="B171" s="23" t="n">
        <x:v>2</x:v>
      </x:c>
      <x:c r="C171" s="20" t="str">
        <x:v>CLASSIFY</x:v>
      </x:c>
      <x:c r="D171" s="20" t="str">
        <x:v>TECHNICAL_SUPPORT</x:v>
      </x:c>
      <x:c r="E171" s="20" t="str">
        <x:v>核对持卡人主张、交易事实与理由族，识别是否选错理由</x:v>
      </x:c>
      <x:c r="F171" s="20" t="str">
        <x:v>理由族已确认或转人工</x:v>
      </x:c>
      <x:c r="G171" s="20" t="str">
        <x:v>继承案件截止时间</x:v>
      </x:c>
      <x:c r="H171" s="20" t="str"/>
    </x:row>
    <x:row r="172" ht="66" customHeight="1">
      <x:c r="A172" s="20" t="str">
        <x:v>SYN-013</x:v>
      </x:c>
      <x:c r="B172" s="23" t="n">
        <x:v>3</x:v>
      </x:c>
      <x:c r="C172" s="20" t="str">
        <x:v>COLLECT</x:v>
      </x:c>
      <x:c r="D172" s="20" t="str">
        <x:v>TECHNICAL_SUPPORT</x:v>
      </x:c>
      <x:c r="E172" s="20" t="str">
        <x:v>按清单向商户/内部团队补证，并标记来源、时间和矛盾</x:v>
      </x:c>
      <x:c r="F172" s="20" t="str">
        <x:v>证据存在性与缺失项已登记</x:v>
      </x:c>
      <x:c r="G172" s="20" t="str">
        <x:v>继承案件截止时间</x:v>
      </x:c>
      <x:c r="H172" s="20" t="str"/>
    </x:row>
    <x:row r="173" ht="66" customHeight="1">
      <x:c r="A173" s="20" t="str">
        <x:v>SYN-013</x:v>
      </x:c>
      <x:c r="B173" s="23" t="n">
        <x:v>4</x:v>
      </x:c>
      <x:c r="C173" s="20" t="str">
        <x:v>REVIEW</x:v>
      </x:c>
      <x:c r="D173" s="20" t="str">
        <x:v>RISK</x:v>
      </x:c>
      <x:c r="E173" s="20" t="str">
        <x:v>检查证据相关性、真实性、格式、页数、金额和时限</x:v>
      </x:c>
      <x:c r="F173" s="20" t="str">
        <x:v>形成接受/申诉/升级建议</x:v>
      </x:c>
      <x:c r="G173" s="20" t="str">
        <x:v>继承案件截止时间</x:v>
      </x:c>
      <x:c r="H173" s="20" t="str">
        <x:v>POLICY_REVIEW</x:v>
      </x:c>
    </x:row>
    <x:row r="174" ht="66" customHeight="1">
      <x:c r="A174" s="20" t="str">
        <x:v>SYN-013</x:v>
      </x:c>
      <x:c r="B174" s="23" t="n">
        <x:v>5</x:v>
      </x:c>
      <x:c r="C174" s="20" t="str">
        <x:v>DECIDE</x:v>
      </x:c>
      <x:c r="D174" s="20" t="str">
        <x:v>TECHNICAL_SUPPORT</x:v>
      </x:c>
      <x:c r="E174" s="20" t="str">
        <x:v>人工确认后决定是否提交申诉</x:v>
      </x:c>
      <x:c r="F174" s="20" t="str">
        <x:v>保留人工决定与理由</x:v>
      </x:c>
      <x:c r="G174" s="20" t="str">
        <x:v>继承案件截止时间</x:v>
      </x:c>
      <x:c r="H174" s="20" t="str"/>
    </x:row>
    <x:row r="175" ht="66" customHeight="1">
      <x:c r="A175" s="20" t="str">
        <x:v>SYN-013</x:v>
      </x:c>
      <x:c r="B175" s="23" t="n">
        <x:v>6</x:v>
      </x:c>
      <x:c r="C175" s="20" t="str">
        <x:v>PACKAGE</x:v>
      </x:c>
      <x:c r="D175" s="20" t="str">
        <x:v>PSP_SUPPORT</x:v>
      </x:c>
      <x:c r="E175" s="20" t="str">
        <x:v>按事实时间线打包，去除敏感信息，不把无关材料堆入证据包</x:v>
      </x:c>
      <x:c r="F175" s="20" t="str">
        <x:v>证据包可读、可追溯、格式合规</x:v>
      </x:c>
      <x:c r="G175" s="20" t="str">
        <x:v>继承案件截止时间</x:v>
      </x:c>
      <x:c r="H175" s="20" t="str"/>
    </x:row>
    <x:row r="176" ht="66" customHeight="1">
      <x:c r="A176" s="20" t="str">
        <x:v>SYN-013</x:v>
      </x:c>
      <x:c r="B176" s="23" t="n">
        <x:v>7</x:v>
      </x:c>
      <x:c r="C176" s="20" t="str">
        <x:v>OUTCOME</x:v>
      </x:c>
      <x:c r="D176" s="20" t="str">
        <x:v>FINANCE</x:v>
      </x:c>
      <x:c r="E176" s="20" t="str">
        <x:v>记录拒付结果=EXPECTED_WON；裁决结果=NOT_APPLICABLE，并核对临时贷记/退款/再扣款</x:v>
      </x:c>
      <x:c r="F176" s="20" t="str">
        <x:v>结果层级与资金状态分开落库</x:v>
      </x:c>
      <x:c r="G176" s="20" t="str">
        <x:v>继承案件截止时间</x:v>
      </x:c>
      <x:c r="H176" s="20" t="str"/>
    </x:row>
    <x:row r="177" ht="66" customHeight="1">
      <x:c r="A177" s="20" t="str">
        <x:v>SYN-014</x:v>
      </x:c>
      <x:c r="B177" s="23" t="n">
        <x:v>1</x:v>
      </x:c>
      <x:c r="C177" s="20" t="str">
        <x:v>INTAKE</x:v>
      </x:c>
      <x:c r="D177" s="20" t="str">
        <x:v>PSP_SUPPORT</x:v>
      </x:c>
      <x:c r="E177" s="20" t="str">
        <x:v>接收争议通知，记录金额、理由、截止时间与资金状态</x:v>
      </x:c>
      <x:c r="F177" s="20" t="str">
        <x:v>案件主键与截止时间已建立</x:v>
      </x:c>
      <x:c r="G177" s="20" t="str">
        <x:v>以实际通知为准；示例不声明统一时限</x:v>
      </x:c>
      <x:c r="H177" s="20" t="str"/>
    </x:row>
    <x:row r="178" ht="66" customHeight="1">
      <x:c r="A178" s="20" t="str">
        <x:v>SYN-014</x:v>
      </x:c>
      <x:c r="B178" s="23" t="n">
        <x:v>2</x:v>
      </x:c>
      <x:c r="C178" s="20" t="str">
        <x:v>CLASSIFY</x:v>
      </x:c>
      <x:c r="D178" s="20" t="str">
        <x:v>TECHNICAL_SUPPORT</x:v>
      </x:c>
      <x:c r="E178" s="20" t="str">
        <x:v>核对持卡人主张、交易事实与理由族，识别是否选错理由</x:v>
      </x:c>
      <x:c r="F178" s="20" t="str">
        <x:v>理由族已确认或转人工</x:v>
      </x:c>
      <x:c r="G178" s="20" t="str">
        <x:v>继承案件截止时间</x:v>
      </x:c>
      <x:c r="H178" s="20" t="str"/>
    </x:row>
    <x:row r="179" ht="66" customHeight="1">
      <x:c r="A179" s="20" t="str">
        <x:v>SYN-014</x:v>
      </x:c>
      <x:c r="B179" s="23" t="n">
        <x:v>3</x:v>
      </x:c>
      <x:c r="C179" s="20" t="str">
        <x:v>COLLECT</x:v>
      </x:c>
      <x:c r="D179" s="20" t="str">
        <x:v>TECHNICAL_SUPPORT</x:v>
      </x:c>
      <x:c r="E179" s="20" t="str">
        <x:v>按清单向商户/内部团队补证，并标记来源、时间和矛盾</x:v>
      </x:c>
      <x:c r="F179" s="20" t="str">
        <x:v>证据存在性与缺失项已登记</x:v>
      </x:c>
      <x:c r="G179" s="20" t="str">
        <x:v>继承案件截止时间</x:v>
      </x:c>
      <x:c r="H179" s="20" t="str"/>
    </x:row>
    <x:row r="180" ht="66" customHeight="1">
      <x:c r="A180" s="20" t="str">
        <x:v>SYN-014</x:v>
      </x:c>
      <x:c r="B180" s="23" t="n">
        <x:v>4</x:v>
      </x:c>
      <x:c r="C180" s="20" t="str">
        <x:v>REVIEW</x:v>
      </x:c>
      <x:c r="D180" s="20" t="str">
        <x:v>RISK</x:v>
      </x:c>
      <x:c r="E180" s="20" t="str">
        <x:v>检查证据相关性、真实性、格式、页数、金额和时限</x:v>
      </x:c>
      <x:c r="F180" s="20" t="str">
        <x:v>形成接受/申诉/升级建议</x:v>
      </x:c>
      <x:c r="G180" s="20" t="str">
        <x:v>继承案件截止时间</x:v>
      </x:c>
      <x:c r="H180" s="20" t="str">
        <x:v>CONFLICT_OR_WEAK_EVIDENCE</x:v>
      </x:c>
    </x:row>
    <x:row r="181" ht="66" customHeight="1">
      <x:c r="A181" s="20" t="str">
        <x:v>SYN-014</x:v>
      </x:c>
      <x:c r="B181" s="23" t="n">
        <x:v>5</x:v>
      </x:c>
      <x:c r="C181" s="20" t="str">
        <x:v>DECIDE</x:v>
      </x:c>
      <x:c r="D181" s="20" t="str">
        <x:v>TECHNICAL_SUPPORT</x:v>
      </x:c>
      <x:c r="E181" s="20" t="str">
        <x:v>建议接受或先补关键证据，避免无效抗辩</x:v>
      </x:c>
      <x:c r="F181" s="20" t="str">
        <x:v>保留人工决定与理由</x:v>
      </x:c>
      <x:c r="G181" s="20" t="str">
        <x:v>继承案件截止时间</x:v>
      </x:c>
      <x:c r="H181" s="20" t="str"/>
    </x:row>
    <x:row r="182" ht="66" customHeight="1">
      <x:c r="A182" s="20" t="str">
        <x:v>SYN-014</x:v>
      </x:c>
      <x:c r="B182" s="23" t="n">
        <x:v>6</x:v>
      </x:c>
      <x:c r="C182" s="20" t="str">
        <x:v>PACKAGE</x:v>
      </x:c>
      <x:c r="D182" s="20" t="str">
        <x:v>PSP_SUPPORT</x:v>
      </x:c>
      <x:c r="E182" s="20" t="str">
        <x:v>按事实时间线打包，去除敏感信息，不把无关材料堆入证据包</x:v>
      </x:c>
      <x:c r="F182" s="20" t="str">
        <x:v>证据包可读、可追溯、格式合规</x:v>
      </x:c>
      <x:c r="G182" s="20" t="str">
        <x:v>继承案件截止时间</x:v>
      </x:c>
      <x:c r="H182" s="20" t="str"/>
    </x:row>
    <x:row r="183" ht="66" customHeight="1">
      <x:c r="A183" s="20" t="str">
        <x:v>SYN-014</x:v>
      </x:c>
      <x:c r="B183" s="23" t="n">
        <x:v>7</x:v>
      </x:c>
      <x:c r="C183" s="20" t="str">
        <x:v>OUTCOME</x:v>
      </x:c>
      <x:c r="D183" s="20" t="str">
        <x:v>FINANCE</x:v>
      </x:c>
      <x:c r="E183" s="20" t="str">
        <x:v>记录拒付结果=EXPECTED_LOST；裁决结果=NOT_APPLICABLE，并核对临时贷记/退款/再扣款</x:v>
      </x:c>
      <x:c r="F183" s="20" t="str">
        <x:v>结果层级与资金状态分开落库</x:v>
      </x:c>
      <x:c r="G183" s="20" t="str">
        <x:v>继承案件截止时间</x:v>
      </x:c>
      <x:c r="H183" s="20" t="str"/>
    </x:row>
    <x:row r="184" ht="66" customHeight="1">
      <x:c r="A184" s="20" t="str">
        <x:v>SYN-015</x:v>
      </x:c>
      <x:c r="B184" s="23" t="n">
        <x:v>1</x:v>
      </x:c>
      <x:c r="C184" s="20" t="str">
        <x:v>INTAKE</x:v>
      </x:c>
      <x:c r="D184" s="20" t="str">
        <x:v>PSP_SUPPORT</x:v>
      </x:c>
      <x:c r="E184" s="20" t="str">
        <x:v>接收争议通知，记录金额、理由、截止时间与资金状态</x:v>
      </x:c>
      <x:c r="F184" s="20" t="str">
        <x:v>案件主键与截止时间已建立</x:v>
      </x:c>
      <x:c r="G184" s="20" t="str">
        <x:v>以实际通知为准；示例不声明统一时限</x:v>
      </x:c>
      <x:c r="H184" s="20" t="str"/>
    </x:row>
    <x:row r="185" ht="66" customHeight="1">
      <x:c r="A185" s="20" t="str">
        <x:v>SYN-015</x:v>
      </x:c>
      <x:c r="B185" s="23" t="n">
        <x:v>2</x:v>
      </x:c>
      <x:c r="C185" s="20" t="str">
        <x:v>CLASSIFY</x:v>
      </x:c>
      <x:c r="D185" s="20" t="str">
        <x:v>TECHNICAL_SUPPORT</x:v>
      </x:c>
      <x:c r="E185" s="20" t="str">
        <x:v>核对持卡人主张、交易事实与理由族，识别是否选错理由</x:v>
      </x:c>
      <x:c r="F185" s="20" t="str">
        <x:v>理由族已确认或转人工</x:v>
      </x:c>
      <x:c r="G185" s="20" t="str">
        <x:v>继承案件截止时间</x:v>
      </x:c>
      <x:c r="H185" s="20" t="str"/>
    </x:row>
    <x:row r="186" ht="66" customHeight="1">
      <x:c r="A186" s="20" t="str">
        <x:v>SYN-015</x:v>
      </x:c>
      <x:c r="B186" s="23" t="n">
        <x:v>3</x:v>
      </x:c>
      <x:c r="C186" s="20" t="str">
        <x:v>COLLECT</x:v>
      </x:c>
      <x:c r="D186" s="20" t="str">
        <x:v>TECHNICAL_SUPPORT</x:v>
      </x:c>
      <x:c r="E186" s="20" t="str">
        <x:v>按清单向商户/内部团队补证，并标记来源、时间和矛盾</x:v>
      </x:c>
      <x:c r="F186" s="20" t="str">
        <x:v>证据存在性与缺失项已登记</x:v>
      </x:c>
      <x:c r="G186" s="20" t="str">
        <x:v>继承案件截止时间</x:v>
      </x:c>
      <x:c r="H186" s="20" t="str"/>
    </x:row>
    <x:row r="187" ht="66" customHeight="1">
      <x:c r="A187" s="20" t="str">
        <x:v>SYN-015</x:v>
      </x:c>
      <x:c r="B187" s="23" t="n">
        <x:v>4</x:v>
      </x:c>
      <x:c r="C187" s="20" t="str">
        <x:v>REVIEW</x:v>
      </x:c>
      <x:c r="D187" s="20" t="str">
        <x:v>RISK</x:v>
      </x:c>
      <x:c r="E187" s="20" t="str">
        <x:v>检查证据相关性、真实性、格式、页数、金额和时限</x:v>
      </x:c>
      <x:c r="F187" s="20" t="str">
        <x:v>形成接受/申诉/升级建议</x:v>
      </x:c>
      <x:c r="G187" s="20" t="str">
        <x:v>继承案件截止时间</x:v>
      </x:c>
      <x:c r="H187" s="20" t="str">
        <x:v>POLICY_REVIEW</x:v>
      </x:c>
    </x:row>
    <x:row r="188" ht="66" customHeight="1">
      <x:c r="A188" s="20" t="str">
        <x:v>SYN-015</x:v>
      </x:c>
      <x:c r="B188" s="23" t="n">
        <x:v>5</x:v>
      </x:c>
      <x:c r="C188" s="20" t="str">
        <x:v>DECIDE</x:v>
      </x:c>
      <x:c r="D188" s="20" t="str">
        <x:v>TECHNICAL_SUPPORT</x:v>
      </x:c>
      <x:c r="E188" s="20" t="str">
        <x:v>人工确认后决定是否提交申诉</x:v>
      </x:c>
      <x:c r="F188" s="20" t="str">
        <x:v>保留人工决定与理由</x:v>
      </x:c>
      <x:c r="G188" s="20" t="str">
        <x:v>继承案件截止时间</x:v>
      </x:c>
      <x:c r="H188" s="20" t="str"/>
    </x:row>
    <x:row r="189" ht="66" customHeight="1">
      <x:c r="A189" s="20" t="str">
        <x:v>SYN-015</x:v>
      </x:c>
      <x:c r="B189" s="23" t="n">
        <x:v>6</x:v>
      </x:c>
      <x:c r="C189" s="20" t="str">
        <x:v>PACKAGE</x:v>
      </x:c>
      <x:c r="D189" s="20" t="str">
        <x:v>PSP_SUPPORT</x:v>
      </x:c>
      <x:c r="E189" s="20" t="str">
        <x:v>按事实时间线打包，去除敏感信息，不把无关材料堆入证据包</x:v>
      </x:c>
      <x:c r="F189" s="20" t="str">
        <x:v>证据包可读、可追溯、格式合规</x:v>
      </x:c>
      <x:c r="G189" s="20" t="str">
        <x:v>继承案件截止时间</x:v>
      </x:c>
      <x:c r="H189" s="20" t="str"/>
    </x:row>
    <x:row r="190" ht="66" customHeight="1">
      <x:c r="A190" s="20" t="str">
        <x:v>SYN-015</x:v>
      </x:c>
      <x:c r="B190" s="23" t="n">
        <x:v>7</x:v>
      </x:c>
      <x:c r="C190" s="20" t="str">
        <x:v>OUTCOME</x:v>
      </x:c>
      <x:c r="D190" s="20" t="str">
        <x:v>FINANCE</x:v>
      </x:c>
      <x:c r="E190" s="20" t="str">
        <x:v>记录拒付结果=EXPECTED_WON；裁决结果=NOT_APPLICABLE，并核对临时贷记/退款/再扣款</x:v>
      </x:c>
      <x:c r="F190" s="20" t="str">
        <x:v>结果层级与资金状态分开落库</x:v>
      </x:c>
      <x:c r="G190" s="20" t="str">
        <x:v>继承案件截止时间</x:v>
      </x:c>
      <x:c r="H190" s="20" t="str"/>
    </x:row>
    <x:row r="191" ht="66" customHeight="1">
      <x:c r="A191" s="20" t="str">
        <x:v>SYN-016</x:v>
      </x:c>
      <x:c r="B191" s="23" t="n">
        <x:v>1</x:v>
      </x:c>
      <x:c r="C191" s="20" t="str">
        <x:v>INTAKE</x:v>
      </x:c>
      <x:c r="D191" s="20" t="str">
        <x:v>PSP_SUPPORT</x:v>
      </x:c>
      <x:c r="E191" s="20" t="str">
        <x:v>接收争议通知，记录金额、理由、截止时间与资金状态</x:v>
      </x:c>
      <x:c r="F191" s="20" t="str">
        <x:v>案件主键与截止时间已建立</x:v>
      </x:c>
      <x:c r="G191" s="20" t="str">
        <x:v>以实际通知为准；示例不声明统一时限</x:v>
      </x:c>
      <x:c r="H191" s="20" t="str"/>
    </x:row>
    <x:row r="192" ht="66" customHeight="1">
      <x:c r="A192" s="20" t="str">
        <x:v>SYN-016</x:v>
      </x:c>
      <x:c r="B192" s="23" t="n">
        <x:v>2</x:v>
      </x:c>
      <x:c r="C192" s="20" t="str">
        <x:v>CLASSIFY</x:v>
      </x:c>
      <x:c r="D192" s="20" t="str">
        <x:v>FINANCE</x:v>
      </x:c>
      <x:c r="E192" s="20" t="str">
        <x:v>核对持卡人主张、交易事实与理由族，识别是否选错理由</x:v>
      </x:c>
      <x:c r="F192" s="20" t="str">
        <x:v>理由族已确认或转人工</x:v>
      </x:c>
      <x:c r="G192" s="20" t="str">
        <x:v>继承案件截止时间</x:v>
      </x:c>
      <x:c r="H192" s="20" t="str"/>
    </x:row>
    <x:row r="193" ht="66" customHeight="1">
      <x:c r="A193" s="20" t="str">
        <x:v>SYN-016</x:v>
      </x:c>
      <x:c r="B193" s="23" t="n">
        <x:v>3</x:v>
      </x:c>
      <x:c r="C193" s="20" t="str">
        <x:v>COLLECT</x:v>
      </x:c>
      <x:c r="D193" s="20" t="str">
        <x:v>FINANCE</x:v>
      </x:c>
      <x:c r="E193" s="20" t="str">
        <x:v>按清单向商户/内部团队补证，并标记来源、时间和矛盾</x:v>
      </x:c>
      <x:c r="F193" s="20" t="str">
        <x:v>证据存在性与缺失项已登记</x:v>
      </x:c>
      <x:c r="G193" s="20" t="str">
        <x:v>继承案件截止时间</x:v>
      </x:c>
      <x:c r="H193" s="20" t="str"/>
    </x:row>
    <x:row r="194" ht="66" customHeight="1">
      <x:c r="A194" s="20" t="str">
        <x:v>SYN-016</x:v>
      </x:c>
      <x:c r="B194" s="23" t="n">
        <x:v>4</x:v>
      </x:c>
      <x:c r="C194" s="20" t="str">
        <x:v>REVIEW</x:v>
      </x:c>
      <x:c r="D194" s="20" t="str">
        <x:v>RISK</x:v>
      </x:c>
      <x:c r="E194" s="20" t="str">
        <x:v>检查证据相关性、真实性、格式、页数、金额和时限</x:v>
      </x:c>
      <x:c r="F194" s="20" t="str">
        <x:v>形成接受/申诉/升级建议</x:v>
      </x:c>
      <x:c r="G194" s="20" t="str">
        <x:v>继承案件截止时间</x:v>
      </x:c>
      <x:c r="H194" s="20" t="str">
        <x:v>CONFLICT_OR_WEAK_EVIDENCE</x:v>
      </x:c>
    </x:row>
    <x:row r="195" ht="66" customHeight="1">
      <x:c r="A195" s="20" t="str">
        <x:v>SYN-016</x:v>
      </x:c>
      <x:c r="B195" s="23" t="n">
        <x:v>5</x:v>
      </x:c>
      <x:c r="C195" s="20" t="str">
        <x:v>DECIDE</x:v>
      </x:c>
      <x:c r="D195" s="20" t="str">
        <x:v>FINANCE</x:v>
      </x:c>
      <x:c r="E195" s="20" t="str">
        <x:v>人工确认后决定是否提交申诉</x:v>
      </x:c>
      <x:c r="F195" s="20" t="str">
        <x:v>保留人工决定与理由</x:v>
      </x:c>
      <x:c r="G195" s="20" t="str">
        <x:v>继承案件截止时间</x:v>
      </x:c>
      <x:c r="H195" s="20" t="str"/>
    </x:row>
    <x:row r="196" ht="66" customHeight="1">
      <x:c r="A196" s="20" t="str">
        <x:v>SYN-016</x:v>
      </x:c>
      <x:c r="B196" s="23" t="n">
        <x:v>6</x:v>
      </x:c>
      <x:c r="C196" s="20" t="str">
        <x:v>PACKAGE</x:v>
      </x:c>
      <x:c r="D196" s="20" t="str">
        <x:v>PSP_SUPPORT</x:v>
      </x:c>
      <x:c r="E196" s="20" t="str">
        <x:v>按事实时间线打包，去除敏感信息，不把无关材料堆入证据包</x:v>
      </x:c>
      <x:c r="F196" s="20" t="str">
        <x:v>证据包可读、可追溯、格式合规</x:v>
      </x:c>
      <x:c r="G196" s="20" t="str">
        <x:v>继承案件截止时间</x:v>
      </x:c>
      <x:c r="H196" s="20" t="str"/>
    </x:row>
    <x:row r="197" ht="66" customHeight="1">
      <x:c r="A197" s="20" t="str">
        <x:v>SYN-016</x:v>
      </x:c>
      <x:c r="B197" s="23" t="n">
        <x:v>7</x:v>
      </x:c>
      <x:c r="C197" s="20" t="str">
        <x:v>OUTCOME</x:v>
      </x:c>
      <x:c r="D197" s="20" t="str">
        <x:v>FINANCE</x:v>
      </x:c>
      <x:c r="E197" s="20" t="str">
        <x:v>记录拒付结果=EXPECTED_PENDING；裁决结果=NOT_APPLICABLE，并核对临时贷记/退款/再扣款</x:v>
      </x:c>
      <x:c r="F197" s="20" t="str">
        <x:v>结果层级与资金状态分开落库</x:v>
      </x:c>
      <x:c r="G197" s="20" t="str">
        <x:v>继承案件截止时间</x:v>
      </x:c>
      <x:c r="H197" s="20" t="str"/>
    </x:row>
    <x:row r="198" ht="66" customHeight="1">
      <x:c r="A198" s="20" t="str">
        <x:v>SYN-017</x:v>
      </x:c>
      <x:c r="B198" s="23" t="n">
        <x:v>1</x:v>
      </x:c>
      <x:c r="C198" s="20" t="str">
        <x:v>INTAKE</x:v>
      </x:c>
      <x:c r="D198" s="20" t="str">
        <x:v>PSP_SUPPORT</x:v>
      </x:c>
      <x:c r="E198" s="20" t="str">
        <x:v>接收争议通知，记录金额、理由、截止时间与资金状态</x:v>
      </x:c>
      <x:c r="F198" s="20" t="str">
        <x:v>案件主键与截止时间已建立</x:v>
      </x:c>
      <x:c r="G198" s="20" t="str">
        <x:v>以实际通知为准；示例不声明统一时限</x:v>
      </x:c>
      <x:c r="H198" s="20" t="str"/>
    </x:row>
    <x:row r="199" ht="66" customHeight="1">
      <x:c r="A199" s="20" t="str">
        <x:v>SYN-017</x:v>
      </x:c>
      <x:c r="B199" s="23" t="n">
        <x:v>2</x:v>
      </x:c>
      <x:c r="C199" s="20" t="str">
        <x:v>CLASSIFY</x:v>
      </x:c>
      <x:c r="D199" s="20" t="str">
        <x:v>FINANCE</x:v>
      </x:c>
      <x:c r="E199" s="20" t="str">
        <x:v>核对持卡人主张、交易事实与理由族，识别是否选错理由</x:v>
      </x:c>
      <x:c r="F199" s="20" t="str">
        <x:v>理由族已确认或转人工</x:v>
      </x:c>
      <x:c r="G199" s="20" t="str">
        <x:v>继承案件截止时间</x:v>
      </x:c>
      <x:c r="H199" s="20" t="str"/>
    </x:row>
    <x:row r="200" ht="66" customHeight="1">
      <x:c r="A200" s="20" t="str">
        <x:v>SYN-017</x:v>
      </x:c>
      <x:c r="B200" s="23" t="n">
        <x:v>3</x:v>
      </x:c>
      <x:c r="C200" s="20" t="str">
        <x:v>COLLECT</x:v>
      </x:c>
      <x:c r="D200" s="20" t="str">
        <x:v>FINANCE</x:v>
      </x:c>
      <x:c r="E200" s="20" t="str">
        <x:v>按清单向商户/内部团队补证，并标记来源、时间和矛盾</x:v>
      </x:c>
      <x:c r="F200" s="20" t="str">
        <x:v>证据存在性与缺失项已登记</x:v>
      </x:c>
      <x:c r="G200" s="20" t="str">
        <x:v>继承案件截止时间</x:v>
      </x:c>
      <x:c r="H200" s="20" t="str"/>
    </x:row>
    <x:row r="201" ht="66" customHeight="1">
      <x:c r="A201" s="20" t="str">
        <x:v>SYN-017</x:v>
      </x:c>
      <x:c r="B201" s="23" t="n">
        <x:v>4</x:v>
      </x:c>
      <x:c r="C201" s="20" t="str">
        <x:v>REVIEW</x:v>
      </x:c>
      <x:c r="D201" s="20" t="str">
        <x:v>RISK</x:v>
      </x:c>
      <x:c r="E201" s="20" t="str">
        <x:v>检查证据相关性、真实性、格式、页数、金额和时限</x:v>
      </x:c>
      <x:c r="F201" s="20" t="str">
        <x:v>形成接受/申诉/升级建议</x:v>
      </x:c>
      <x:c r="G201" s="20" t="str">
        <x:v>继承案件截止时间</x:v>
      </x:c>
      <x:c r="H201" s="20" t="str">
        <x:v>POLICY_REVIEW</x:v>
      </x:c>
    </x:row>
    <x:row r="202" ht="66" customHeight="1">
      <x:c r="A202" s="20" t="str">
        <x:v>SYN-017</x:v>
      </x:c>
      <x:c r="B202" s="23" t="n">
        <x:v>5</x:v>
      </x:c>
      <x:c r="C202" s="20" t="str">
        <x:v>DECIDE</x:v>
      </x:c>
      <x:c r="D202" s="20" t="str">
        <x:v>FINANCE</x:v>
      </x:c>
      <x:c r="E202" s="20" t="str">
        <x:v>人工确认后决定是否提交申诉</x:v>
      </x:c>
      <x:c r="F202" s="20" t="str">
        <x:v>保留人工决定与理由</x:v>
      </x:c>
      <x:c r="G202" s="20" t="str">
        <x:v>继承案件截止时间</x:v>
      </x:c>
      <x:c r="H202" s="20" t="str"/>
    </x:row>
    <x:row r="203" ht="66" customHeight="1">
      <x:c r="A203" s="20" t="str">
        <x:v>SYN-017</x:v>
      </x:c>
      <x:c r="B203" s="23" t="n">
        <x:v>6</x:v>
      </x:c>
      <x:c r="C203" s="20" t="str">
        <x:v>PACKAGE</x:v>
      </x:c>
      <x:c r="D203" s="20" t="str">
        <x:v>PSP_SUPPORT</x:v>
      </x:c>
      <x:c r="E203" s="20" t="str">
        <x:v>按事实时间线打包，去除敏感信息，不把无关材料堆入证据包</x:v>
      </x:c>
      <x:c r="F203" s="20" t="str">
        <x:v>证据包可读、可追溯、格式合规</x:v>
      </x:c>
      <x:c r="G203" s="20" t="str">
        <x:v>继承案件截止时间</x:v>
      </x:c>
      <x:c r="H203" s="20" t="str"/>
    </x:row>
    <x:row r="204" ht="66" customHeight="1">
      <x:c r="A204" s="20" t="str">
        <x:v>SYN-017</x:v>
      </x:c>
      <x:c r="B204" s="23" t="n">
        <x:v>7</x:v>
      </x:c>
      <x:c r="C204" s="20" t="str">
        <x:v>OUTCOME</x:v>
      </x:c>
      <x:c r="D204" s="20" t="str">
        <x:v>FINANCE</x:v>
      </x:c>
      <x:c r="E204" s="20" t="str">
        <x:v>记录拒付结果=EXPECTED_WON；裁决结果=NOT_APPLICABLE，并核对临时贷记/退款/再扣款</x:v>
      </x:c>
      <x:c r="F204" s="20" t="str">
        <x:v>结果层级与资金状态分开落库</x:v>
      </x:c>
      <x:c r="G204" s="20" t="str">
        <x:v>继承案件截止时间</x:v>
      </x:c>
      <x:c r="H204" s="20" t="str"/>
    </x:row>
    <x:row r="205" ht="66" customHeight="1">
      <x:c r="A205" s="20" t="str">
        <x:v>SYN-018</x:v>
      </x:c>
      <x:c r="B205" s="23" t="n">
        <x:v>1</x:v>
      </x:c>
      <x:c r="C205" s="20" t="str">
        <x:v>INTAKE</x:v>
      </x:c>
      <x:c r="D205" s="20" t="str">
        <x:v>PSP_SUPPORT</x:v>
      </x:c>
      <x:c r="E205" s="20" t="str">
        <x:v>接收争议通知，记录金额、理由、截止时间与资金状态</x:v>
      </x:c>
      <x:c r="F205" s="20" t="str">
        <x:v>案件主键与截止时间已建立</x:v>
      </x:c>
      <x:c r="G205" s="20" t="str">
        <x:v>以实际通知为准；示例不声明统一时限</x:v>
      </x:c>
      <x:c r="H205" s="20" t="str"/>
    </x:row>
    <x:row r="206" ht="66" customHeight="1">
      <x:c r="A206" s="20" t="str">
        <x:v>SYN-018</x:v>
      </x:c>
      <x:c r="B206" s="23" t="n">
        <x:v>2</x:v>
      </x:c>
      <x:c r="C206" s="20" t="str">
        <x:v>CLASSIFY</x:v>
      </x:c>
      <x:c r="D206" s="20" t="str">
        <x:v>FINANCE</x:v>
      </x:c>
      <x:c r="E206" s="20" t="str">
        <x:v>核对持卡人主张、交易事实与理由族，识别是否选错理由</x:v>
      </x:c>
      <x:c r="F206" s="20" t="str">
        <x:v>理由族已确认或转人工</x:v>
      </x:c>
      <x:c r="G206" s="20" t="str">
        <x:v>继承案件截止时间</x:v>
      </x:c>
      <x:c r="H206" s="20" t="str"/>
    </x:row>
    <x:row r="207" ht="66" customHeight="1">
      <x:c r="A207" s="20" t="str">
        <x:v>SYN-018</x:v>
      </x:c>
      <x:c r="B207" s="23" t="n">
        <x:v>3</x:v>
      </x:c>
      <x:c r="C207" s="20" t="str">
        <x:v>COLLECT</x:v>
      </x:c>
      <x:c r="D207" s="20" t="str">
        <x:v>FINANCE</x:v>
      </x:c>
      <x:c r="E207" s="20" t="str">
        <x:v>按清单向商户/内部团队补证，并标记来源、时间和矛盾</x:v>
      </x:c>
      <x:c r="F207" s="20" t="str">
        <x:v>证据存在性与缺失项已登记</x:v>
      </x:c>
      <x:c r="G207" s="20" t="str">
        <x:v>继承案件截止时间</x:v>
      </x:c>
      <x:c r="H207" s="20" t="str"/>
    </x:row>
    <x:row r="208" ht="66" customHeight="1">
      <x:c r="A208" s="20" t="str">
        <x:v>SYN-018</x:v>
      </x:c>
      <x:c r="B208" s="23" t="n">
        <x:v>4</x:v>
      </x:c>
      <x:c r="C208" s="20" t="str">
        <x:v>REVIEW</x:v>
      </x:c>
      <x:c r="D208" s="20" t="str">
        <x:v>RISK</x:v>
      </x:c>
      <x:c r="E208" s="20" t="str">
        <x:v>检查证据相关性、真实性、格式、页数、金额和时限</x:v>
      </x:c>
      <x:c r="F208" s="20" t="str">
        <x:v>形成接受/申诉/升级建议</x:v>
      </x:c>
      <x:c r="G208" s="20" t="str">
        <x:v>继承案件截止时间</x:v>
      </x:c>
      <x:c r="H208" s="20" t="str">
        <x:v>POLICY_REVIEW</x:v>
      </x:c>
    </x:row>
    <x:row r="209" ht="66" customHeight="1">
      <x:c r="A209" s="20" t="str">
        <x:v>SYN-018</x:v>
      </x:c>
      <x:c r="B209" s="23" t="n">
        <x:v>5</x:v>
      </x:c>
      <x:c r="C209" s="20" t="str">
        <x:v>DECIDE</x:v>
      </x:c>
      <x:c r="D209" s="20" t="str">
        <x:v>FINANCE</x:v>
      </x:c>
      <x:c r="E209" s="20" t="str">
        <x:v>人工确认后决定是否提交申诉</x:v>
      </x:c>
      <x:c r="F209" s="20" t="str">
        <x:v>保留人工决定与理由</x:v>
      </x:c>
      <x:c r="G209" s="20" t="str">
        <x:v>继承案件截止时间</x:v>
      </x:c>
      <x:c r="H209" s="20" t="str"/>
    </x:row>
    <x:row r="210" ht="66" customHeight="1">
      <x:c r="A210" s="20" t="str">
        <x:v>SYN-018</x:v>
      </x:c>
      <x:c r="B210" s="23" t="n">
        <x:v>6</x:v>
      </x:c>
      <x:c r="C210" s="20" t="str">
        <x:v>PACKAGE</x:v>
      </x:c>
      <x:c r="D210" s="20" t="str">
        <x:v>PSP_SUPPORT</x:v>
      </x:c>
      <x:c r="E210" s="20" t="str">
        <x:v>按事实时间线打包，去除敏感信息，不把无关材料堆入证据包</x:v>
      </x:c>
      <x:c r="F210" s="20" t="str">
        <x:v>证据包可读、可追溯、格式合规</x:v>
      </x:c>
      <x:c r="G210" s="20" t="str">
        <x:v>继承案件截止时间</x:v>
      </x:c>
      <x:c r="H210" s="20" t="str"/>
    </x:row>
    <x:row r="211" ht="66" customHeight="1">
      <x:c r="A211" s="20" t="str">
        <x:v>SYN-018</x:v>
      </x:c>
      <x:c r="B211" s="23" t="n">
        <x:v>7</x:v>
      </x:c>
      <x:c r="C211" s="20" t="str">
        <x:v>OUTCOME</x:v>
      </x:c>
      <x:c r="D211" s="20" t="str">
        <x:v>FINANCE</x:v>
      </x:c>
      <x:c r="E211" s="20" t="str">
        <x:v>记录拒付结果=EXPECTED_WON；裁决结果=NOT_APPLICABLE，并核对临时贷记/退款/再扣款</x:v>
      </x:c>
      <x:c r="F211" s="20" t="str">
        <x:v>结果层级与资金状态分开落库</x:v>
      </x:c>
      <x:c r="G211" s="20" t="str">
        <x:v>继承案件截止时间</x:v>
      </x:c>
      <x:c r="H211" s="20" t="str"/>
    </x:row>
    <x:row r="212" ht="66" customHeight="1">
      <x:c r="A212" s="20" t="str">
        <x:v>SYN-019</x:v>
      </x:c>
      <x:c r="B212" s="23" t="n">
        <x:v>1</x:v>
      </x:c>
      <x:c r="C212" s="20" t="str">
        <x:v>INTAKE</x:v>
      </x:c>
      <x:c r="D212" s="20" t="str">
        <x:v>PSP_SUPPORT</x:v>
      </x:c>
      <x:c r="E212" s="20" t="str">
        <x:v>接收争议通知，记录金额、理由、截止时间与资金状态</x:v>
      </x:c>
      <x:c r="F212" s="20" t="str">
        <x:v>案件主键与截止时间已建立</x:v>
      </x:c>
      <x:c r="G212" s="20" t="str">
        <x:v>以实际通知为准；示例不声明统一时限</x:v>
      </x:c>
      <x:c r="H212" s="20" t="str"/>
    </x:row>
    <x:row r="213" ht="66" customHeight="1">
      <x:c r="A213" s="20" t="str">
        <x:v>SYN-019</x:v>
      </x:c>
      <x:c r="B213" s="23" t="n">
        <x:v>2</x:v>
      </x:c>
      <x:c r="C213" s="20" t="str">
        <x:v>CLASSIFY</x:v>
      </x:c>
      <x:c r="D213" s="20" t="str">
        <x:v>CUSTOMER_SUPPORT</x:v>
      </x:c>
      <x:c r="E213" s="20" t="str">
        <x:v>核对持卡人主张、交易事实与理由族，识别是否选错理由</x:v>
      </x:c>
      <x:c r="F213" s="20" t="str">
        <x:v>理由族已确认或转人工</x:v>
      </x:c>
      <x:c r="G213" s="20" t="str">
        <x:v>继承案件截止时间</x:v>
      </x:c>
      <x:c r="H213" s="20" t="str"/>
    </x:row>
    <x:row r="214" ht="66" customHeight="1">
      <x:c r="A214" s="20" t="str">
        <x:v>SYN-019</x:v>
      </x:c>
      <x:c r="B214" s="23" t="n">
        <x:v>3</x:v>
      </x:c>
      <x:c r="C214" s="20" t="str">
        <x:v>COLLECT</x:v>
      </x:c>
      <x:c r="D214" s="20" t="str">
        <x:v>CUSTOMER_SUPPORT</x:v>
      </x:c>
      <x:c r="E214" s="20" t="str">
        <x:v>按清单向商户/内部团队补证，并标记来源、时间和矛盾</x:v>
      </x:c>
      <x:c r="F214" s="20" t="str">
        <x:v>证据存在性与缺失项已登记</x:v>
      </x:c>
      <x:c r="G214" s="20" t="str">
        <x:v>继承案件截止时间</x:v>
      </x:c>
      <x:c r="H214" s="20" t="str"/>
    </x:row>
    <x:row r="215" ht="66" customHeight="1">
      <x:c r="A215" s="20" t="str">
        <x:v>SYN-019</x:v>
      </x:c>
      <x:c r="B215" s="23" t="n">
        <x:v>4</x:v>
      </x:c>
      <x:c r="C215" s="20" t="str">
        <x:v>REVIEW</x:v>
      </x:c>
      <x:c r="D215" s="20" t="str">
        <x:v>RISK</x:v>
      </x:c>
      <x:c r="E215" s="20" t="str">
        <x:v>检查证据相关性、真实性、格式、页数、金额和时限</x:v>
      </x:c>
      <x:c r="F215" s="20" t="str">
        <x:v>形成接受/申诉/升级建议</x:v>
      </x:c>
      <x:c r="G215" s="20" t="str">
        <x:v>继承案件截止时间</x:v>
      </x:c>
      <x:c r="H215" s="20" t="str">
        <x:v>POLICY_REVIEW</x:v>
      </x:c>
    </x:row>
    <x:row r="216" ht="66" customHeight="1">
      <x:c r="A216" s="20" t="str">
        <x:v>SYN-019</x:v>
      </x:c>
      <x:c r="B216" s="23" t="n">
        <x:v>5</x:v>
      </x:c>
      <x:c r="C216" s="20" t="str">
        <x:v>DECIDE</x:v>
      </x:c>
      <x:c r="D216" s="20" t="str">
        <x:v>CUSTOMER_SUPPORT</x:v>
      </x:c>
      <x:c r="E216" s="20" t="str">
        <x:v>人工确认后决定是否提交申诉</x:v>
      </x:c>
      <x:c r="F216" s="20" t="str">
        <x:v>保留人工决定与理由</x:v>
      </x:c>
      <x:c r="G216" s="20" t="str">
        <x:v>继承案件截止时间</x:v>
      </x:c>
      <x:c r="H216" s="20" t="str"/>
    </x:row>
    <x:row r="217" ht="66" customHeight="1">
      <x:c r="A217" s="20" t="str">
        <x:v>SYN-019</x:v>
      </x:c>
      <x:c r="B217" s="23" t="n">
        <x:v>6</x:v>
      </x:c>
      <x:c r="C217" s="20" t="str">
        <x:v>PACKAGE</x:v>
      </x:c>
      <x:c r="D217" s="20" t="str">
        <x:v>PSP_SUPPORT</x:v>
      </x:c>
      <x:c r="E217" s="20" t="str">
        <x:v>按事实时间线打包，去除敏感信息，不把无关材料堆入证据包</x:v>
      </x:c>
      <x:c r="F217" s="20" t="str">
        <x:v>证据包可读、可追溯、格式合规</x:v>
      </x:c>
      <x:c r="G217" s="20" t="str">
        <x:v>继承案件截止时间</x:v>
      </x:c>
      <x:c r="H217" s="20" t="str"/>
    </x:row>
    <x:row r="218" ht="66" customHeight="1">
      <x:c r="A218" s="20" t="str">
        <x:v>SYN-019</x:v>
      </x:c>
      <x:c r="B218" s="23" t="n">
        <x:v>7</x:v>
      </x:c>
      <x:c r="C218" s="20" t="str">
        <x:v>OUTCOME</x:v>
      </x:c>
      <x:c r="D218" s="20" t="str">
        <x:v>FINANCE</x:v>
      </x:c>
      <x:c r="E218" s="20" t="str">
        <x:v>记录拒付结果=EXPECTED_WON；裁决结果=NOT_APPLICABLE，并核对临时贷记/退款/再扣款</x:v>
      </x:c>
      <x:c r="F218" s="20" t="str">
        <x:v>结果层级与资金状态分开落库</x:v>
      </x:c>
      <x:c r="G218" s="20" t="str">
        <x:v>继承案件截止时间</x:v>
      </x:c>
      <x:c r="H218" s="20" t="str"/>
    </x:row>
    <x:row r="219" ht="66" customHeight="1">
      <x:c r="A219" s="20" t="str">
        <x:v>SYN-020</x:v>
      </x:c>
      <x:c r="B219" s="23" t="n">
        <x:v>1</x:v>
      </x:c>
      <x:c r="C219" s="20" t="str">
        <x:v>INTAKE</x:v>
      </x:c>
      <x:c r="D219" s="20" t="str">
        <x:v>PSP_SUPPORT</x:v>
      </x:c>
      <x:c r="E219" s="20" t="str">
        <x:v>接收争议通知，记录金额、理由、截止时间与资金状态</x:v>
      </x:c>
      <x:c r="F219" s="20" t="str">
        <x:v>案件主键与截止时间已建立</x:v>
      </x:c>
      <x:c r="G219" s="20" t="str">
        <x:v>以实际通知为准；示例不声明统一时限</x:v>
      </x:c>
      <x:c r="H219" s="20" t="str"/>
    </x:row>
    <x:row r="220" ht="66" customHeight="1">
      <x:c r="A220" s="20" t="str">
        <x:v>SYN-020</x:v>
      </x:c>
      <x:c r="B220" s="23" t="n">
        <x:v>2</x:v>
      </x:c>
      <x:c r="C220" s="20" t="str">
        <x:v>CLASSIFY</x:v>
      </x:c>
      <x:c r="D220" s="20" t="str">
        <x:v>CUSTOMER_SUPPORT</x:v>
      </x:c>
      <x:c r="E220" s="20" t="str">
        <x:v>核对持卡人主张、交易事实与理由族，识别是否选错理由</x:v>
      </x:c>
      <x:c r="F220" s="20" t="str">
        <x:v>理由族已确认或转人工</x:v>
      </x:c>
      <x:c r="G220" s="20" t="str">
        <x:v>继承案件截止时间</x:v>
      </x:c>
      <x:c r="H220" s="20" t="str"/>
    </x:row>
    <x:row r="221" ht="66" customHeight="1">
      <x:c r="A221" s="20" t="str">
        <x:v>SYN-020</x:v>
      </x:c>
      <x:c r="B221" s="23" t="n">
        <x:v>3</x:v>
      </x:c>
      <x:c r="C221" s="20" t="str">
        <x:v>COLLECT</x:v>
      </x:c>
      <x:c r="D221" s="20" t="str">
        <x:v>CUSTOMER_SUPPORT</x:v>
      </x:c>
      <x:c r="E221" s="20" t="str">
        <x:v>按清单向商户/内部团队补证，并标记来源、时间和矛盾</x:v>
      </x:c>
      <x:c r="F221" s="20" t="str">
        <x:v>证据存在性与缺失项已登记</x:v>
      </x:c>
      <x:c r="G221" s="20" t="str">
        <x:v>继承案件截止时间</x:v>
      </x:c>
      <x:c r="H221" s="20" t="str"/>
    </x:row>
    <x:row r="222" ht="66" customHeight="1">
      <x:c r="A222" s="20" t="str">
        <x:v>SYN-020</x:v>
      </x:c>
      <x:c r="B222" s="23" t="n">
        <x:v>4</x:v>
      </x:c>
      <x:c r="C222" s="20" t="str">
        <x:v>REVIEW</x:v>
      </x:c>
      <x:c r="D222" s="20" t="str">
        <x:v>RISK</x:v>
      </x:c>
      <x:c r="E222" s="20" t="str">
        <x:v>检查证据相关性、真实性、格式、页数、金额和时限</x:v>
      </x:c>
      <x:c r="F222" s="20" t="str">
        <x:v>形成接受/申诉/升级建议</x:v>
      </x:c>
      <x:c r="G222" s="20" t="str">
        <x:v>继承案件截止时间</x:v>
      </x:c>
      <x:c r="H222" s="20" t="str">
        <x:v>CONFLICT_OR_WEAK_EVIDENCE</x:v>
      </x:c>
    </x:row>
    <x:row r="223" ht="66" customHeight="1">
      <x:c r="A223" s="20" t="str">
        <x:v>SYN-020</x:v>
      </x:c>
      <x:c r="B223" s="23" t="n">
        <x:v>5</x:v>
      </x:c>
      <x:c r="C223" s="20" t="str">
        <x:v>DECIDE</x:v>
      </x:c>
      <x:c r="D223" s="20" t="str">
        <x:v>CUSTOMER_SUPPORT</x:v>
      </x:c>
      <x:c r="E223" s="20" t="str">
        <x:v>建议接受或先补关键证据，避免无效抗辩</x:v>
      </x:c>
      <x:c r="F223" s="20" t="str">
        <x:v>保留人工决定与理由</x:v>
      </x:c>
      <x:c r="G223" s="20" t="str">
        <x:v>继承案件截止时间</x:v>
      </x:c>
      <x:c r="H223" s="20" t="str"/>
    </x:row>
    <x:row r="224" ht="66" customHeight="1">
      <x:c r="A224" s="20" t="str">
        <x:v>SYN-020</x:v>
      </x:c>
      <x:c r="B224" s="23" t="n">
        <x:v>6</x:v>
      </x:c>
      <x:c r="C224" s="20" t="str">
        <x:v>PACKAGE</x:v>
      </x:c>
      <x:c r="D224" s="20" t="str">
        <x:v>PSP_SUPPORT</x:v>
      </x:c>
      <x:c r="E224" s="20" t="str">
        <x:v>按事实时间线打包，去除敏感信息，不把无关材料堆入证据包</x:v>
      </x:c>
      <x:c r="F224" s="20" t="str">
        <x:v>证据包可读、可追溯、格式合规</x:v>
      </x:c>
      <x:c r="G224" s="20" t="str">
        <x:v>继承案件截止时间</x:v>
      </x:c>
      <x:c r="H224" s="20" t="str"/>
    </x:row>
    <x:row r="225" ht="66" customHeight="1">
      <x:c r="A225" s="20" t="str">
        <x:v>SYN-020</x:v>
      </x:c>
      <x:c r="B225" s="23" t="n">
        <x:v>7</x:v>
      </x:c>
      <x:c r="C225" s="20" t="str">
        <x:v>OUTCOME</x:v>
      </x:c>
      <x:c r="D225" s="20" t="str">
        <x:v>FINANCE</x:v>
      </x:c>
      <x:c r="E225" s="20" t="str">
        <x:v>记录拒付结果=EXPECTED_LOST；裁决结果=NOT_APPLICABLE，并核对临时贷记/退款/再扣款</x:v>
      </x:c>
      <x:c r="F225" s="20" t="str">
        <x:v>结果层级与资金状态分开落库</x:v>
      </x:c>
      <x:c r="G225" s="20" t="str">
        <x:v>继承案件截止时间</x:v>
      </x:c>
      <x:c r="H225" s="20" t="str"/>
    </x:row>
    <x:row r="226" ht="66" customHeight="1">
      <x:c r="A226" s="20" t="str">
        <x:v>SYN-021</x:v>
      </x:c>
      <x:c r="B226" s="23" t="n">
        <x:v>1</x:v>
      </x:c>
      <x:c r="C226" s="20" t="str">
        <x:v>INTAKE</x:v>
      </x:c>
      <x:c r="D226" s="20" t="str">
        <x:v>PSP_SUPPORT</x:v>
      </x:c>
      <x:c r="E226" s="20" t="str">
        <x:v>接收争议通知，记录金额、理由、截止时间与资金状态</x:v>
      </x:c>
      <x:c r="F226" s="20" t="str">
        <x:v>案件主键与截止时间已建立</x:v>
      </x:c>
      <x:c r="G226" s="20" t="str">
        <x:v>以实际通知为准；示例不声明统一时限</x:v>
      </x:c>
      <x:c r="H226" s="20" t="str"/>
    </x:row>
    <x:row r="227" ht="66" customHeight="1">
      <x:c r="A227" s="20" t="str">
        <x:v>SYN-021</x:v>
      </x:c>
      <x:c r="B227" s="23" t="n">
        <x:v>2</x:v>
      </x:c>
      <x:c r="C227" s="20" t="str">
        <x:v>CLASSIFY</x:v>
      </x:c>
      <x:c r="D227" s="20" t="str">
        <x:v>CUSTOMER_SUPPORT</x:v>
      </x:c>
      <x:c r="E227" s="20" t="str">
        <x:v>核对持卡人主张、交易事实与理由族，识别是否选错理由</x:v>
      </x:c>
      <x:c r="F227" s="20" t="str">
        <x:v>理由族已确认或转人工</x:v>
      </x:c>
      <x:c r="G227" s="20" t="str">
        <x:v>继承案件截止时间</x:v>
      </x:c>
      <x:c r="H227" s="20" t="str"/>
    </x:row>
    <x:row r="228" ht="66" customHeight="1">
      <x:c r="A228" s="20" t="str">
        <x:v>SYN-021</x:v>
      </x:c>
      <x:c r="B228" s="23" t="n">
        <x:v>3</x:v>
      </x:c>
      <x:c r="C228" s="20" t="str">
        <x:v>COLLECT</x:v>
      </x:c>
      <x:c r="D228" s="20" t="str">
        <x:v>CUSTOMER_SUPPORT</x:v>
      </x:c>
      <x:c r="E228" s="20" t="str">
        <x:v>按清单向商户/内部团队补证，并标记来源、时间和矛盾</x:v>
      </x:c>
      <x:c r="F228" s="20" t="str">
        <x:v>证据存在性与缺失项已登记</x:v>
      </x:c>
      <x:c r="G228" s="20" t="str">
        <x:v>继承案件截止时间</x:v>
      </x:c>
      <x:c r="H228" s="20" t="str"/>
    </x:row>
    <x:row r="229" ht="66" customHeight="1">
      <x:c r="A229" s="20" t="str">
        <x:v>SYN-021</x:v>
      </x:c>
      <x:c r="B229" s="23" t="n">
        <x:v>4</x:v>
      </x:c>
      <x:c r="C229" s="20" t="str">
        <x:v>REVIEW</x:v>
      </x:c>
      <x:c r="D229" s="20" t="str">
        <x:v>RISK</x:v>
      </x:c>
      <x:c r="E229" s="20" t="str">
        <x:v>检查证据相关性、真实性、格式、页数、金额和时限</x:v>
      </x:c>
      <x:c r="F229" s="20" t="str">
        <x:v>形成接受/申诉/升级建议</x:v>
      </x:c>
      <x:c r="G229" s="20" t="str">
        <x:v>继承案件截止时间</x:v>
      </x:c>
      <x:c r="H229" s="20" t="str">
        <x:v>POLICY_REVIEW</x:v>
      </x:c>
    </x:row>
    <x:row r="230" ht="66" customHeight="1">
      <x:c r="A230" s="20" t="str">
        <x:v>SYN-021</x:v>
      </x:c>
      <x:c r="B230" s="23" t="n">
        <x:v>5</x:v>
      </x:c>
      <x:c r="C230" s="20" t="str">
        <x:v>DECIDE</x:v>
      </x:c>
      <x:c r="D230" s="20" t="str">
        <x:v>CUSTOMER_SUPPORT</x:v>
      </x:c>
      <x:c r="E230" s="20" t="str">
        <x:v>人工确认后决定是否提交申诉</x:v>
      </x:c>
      <x:c r="F230" s="20" t="str">
        <x:v>保留人工决定与理由</x:v>
      </x:c>
      <x:c r="G230" s="20" t="str">
        <x:v>继承案件截止时间</x:v>
      </x:c>
      <x:c r="H230" s="20" t="str"/>
    </x:row>
    <x:row r="231" ht="66" customHeight="1">
      <x:c r="A231" s="20" t="str">
        <x:v>SYN-021</x:v>
      </x:c>
      <x:c r="B231" s="23" t="n">
        <x:v>6</x:v>
      </x:c>
      <x:c r="C231" s="20" t="str">
        <x:v>PACKAGE</x:v>
      </x:c>
      <x:c r="D231" s="20" t="str">
        <x:v>PSP_SUPPORT</x:v>
      </x:c>
      <x:c r="E231" s="20" t="str">
        <x:v>按事实时间线打包，去除敏感信息，不把无关材料堆入证据包</x:v>
      </x:c>
      <x:c r="F231" s="20" t="str">
        <x:v>证据包可读、可追溯、格式合规</x:v>
      </x:c>
      <x:c r="G231" s="20" t="str">
        <x:v>继承案件截止时间</x:v>
      </x:c>
      <x:c r="H231" s="20" t="str"/>
    </x:row>
    <x:row r="232" ht="66" customHeight="1">
      <x:c r="A232" s="20" t="str">
        <x:v>SYN-021</x:v>
      </x:c>
      <x:c r="B232" s="23" t="n">
        <x:v>7</x:v>
      </x:c>
      <x:c r="C232" s="20" t="str">
        <x:v>OUTCOME</x:v>
      </x:c>
      <x:c r="D232" s="20" t="str">
        <x:v>FINANCE</x:v>
      </x:c>
      <x:c r="E232" s="20" t="str">
        <x:v>记录拒付结果=EXPECTED_WON；裁决结果=NOT_APPLICABLE，并核对临时贷记/退款/再扣款</x:v>
      </x:c>
      <x:c r="F232" s="20" t="str">
        <x:v>结果层级与资金状态分开落库</x:v>
      </x:c>
      <x:c r="G232" s="20" t="str">
        <x:v>继承案件截止时间</x:v>
      </x:c>
      <x:c r="H232" s="20" t="str"/>
    </x:row>
    <x:row r="233" ht="66" customHeight="1">
      <x:c r="A233" s="20" t="str">
        <x:v>SYN-022</x:v>
      </x:c>
      <x:c r="B233" s="23" t="n">
        <x:v>1</x:v>
      </x:c>
      <x:c r="C233" s="20" t="str">
        <x:v>INTAKE</x:v>
      </x:c>
      <x:c r="D233" s="20" t="str">
        <x:v>PSP_SUPPORT</x:v>
      </x:c>
      <x:c r="E233" s="20" t="str">
        <x:v>接收争议通知，记录金额、理由、截止时间与资金状态</x:v>
      </x:c>
      <x:c r="F233" s="20" t="str">
        <x:v>案件主键与截止时间已建立</x:v>
      </x:c>
      <x:c r="G233" s="20" t="str">
        <x:v>以实际通知为准；示例不声明统一时限</x:v>
      </x:c>
      <x:c r="H233" s="20" t="str"/>
    </x:row>
    <x:row r="234" ht="66" customHeight="1">
      <x:c r="A234" s="20" t="str">
        <x:v>SYN-022</x:v>
      </x:c>
      <x:c r="B234" s="23" t="n">
        <x:v>2</x:v>
      </x:c>
      <x:c r="C234" s="20" t="str">
        <x:v>CLASSIFY</x:v>
      </x:c>
      <x:c r="D234" s="20" t="str">
        <x:v>PSP_SUPPORT</x:v>
      </x:c>
      <x:c r="E234" s="20" t="str">
        <x:v>核对持卡人主张、交易事实与理由族，识别是否选错理由</x:v>
      </x:c>
      <x:c r="F234" s="20" t="str">
        <x:v>理由族已确认或转人工</x:v>
      </x:c>
      <x:c r="G234" s="20" t="str">
        <x:v>继承案件截止时间</x:v>
      </x:c>
      <x:c r="H234" s="20" t="str"/>
    </x:row>
    <x:row r="235" ht="66" customHeight="1">
      <x:c r="A235" s="20" t="str">
        <x:v>SYN-022</x:v>
      </x:c>
      <x:c r="B235" s="23" t="n">
        <x:v>3</x:v>
      </x:c>
      <x:c r="C235" s="20" t="str">
        <x:v>COLLECT</x:v>
      </x:c>
      <x:c r="D235" s="20" t="str">
        <x:v>PSP_SUPPORT</x:v>
      </x:c>
      <x:c r="E235" s="20" t="str">
        <x:v>按清单向商户/内部团队补证，并标记来源、时间和矛盾</x:v>
      </x:c>
      <x:c r="F235" s="20" t="str">
        <x:v>证据存在性与缺失项已登记</x:v>
      </x:c>
      <x:c r="G235" s="20" t="str">
        <x:v>继承案件截止时间</x:v>
      </x:c>
      <x:c r="H235" s="20" t="str"/>
    </x:row>
    <x:row r="236" ht="66" customHeight="1">
      <x:c r="A236" s="20" t="str">
        <x:v>SYN-022</x:v>
      </x:c>
      <x:c r="B236" s="23" t="n">
        <x:v>4</x:v>
      </x:c>
      <x:c r="C236" s="20" t="str">
        <x:v>REVIEW</x:v>
      </x:c>
      <x:c r="D236" s="20" t="str">
        <x:v>RISK</x:v>
      </x:c>
      <x:c r="E236" s="20" t="str">
        <x:v>检查证据相关性、真实性、格式、页数、金额和时限</x:v>
      </x:c>
      <x:c r="F236" s="20" t="str">
        <x:v>形成接受/申诉/升级建议</x:v>
      </x:c>
      <x:c r="G236" s="20" t="str">
        <x:v>继承案件截止时间</x:v>
      </x:c>
      <x:c r="H236" s="20" t="str">
        <x:v>CONFLICT_OR_WEAK_EVIDENCE</x:v>
      </x:c>
    </x:row>
    <x:row r="237" ht="66" customHeight="1">
      <x:c r="A237" s="20" t="str">
        <x:v>SYN-022</x:v>
      </x:c>
      <x:c r="B237" s="23" t="n">
        <x:v>5</x:v>
      </x:c>
      <x:c r="C237" s="20" t="str">
        <x:v>DECIDE</x:v>
      </x:c>
      <x:c r="D237" s="20" t="str">
        <x:v>PSP_SUPPORT</x:v>
      </x:c>
      <x:c r="E237" s="20" t="str">
        <x:v>建议接受或先补关键证据，避免无效抗辩</x:v>
      </x:c>
      <x:c r="F237" s="20" t="str">
        <x:v>保留人工决定与理由</x:v>
      </x:c>
      <x:c r="G237" s="20" t="str">
        <x:v>继承案件截止时间</x:v>
      </x:c>
      <x:c r="H237" s="20" t="str"/>
    </x:row>
    <x:row r="238" ht="66" customHeight="1">
      <x:c r="A238" s="20" t="str">
        <x:v>SYN-022</x:v>
      </x:c>
      <x:c r="B238" s="23" t="n">
        <x:v>6</x:v>
      </x:c>
      <x:c r="C238" s="20" t="str">
        <x:v>PACKAGE</x:v>
      </x:c>
      <x:c r="D238" s="20" t="str">
        <x:v>PSP_SUPPORT</x:v>
      </x:c>
      <x:c r="E238" s="20" t="str">
        <x:v>按事实时间线打包，去除敏感信息，不把无关材料堆入证据包</x:v>
      </x:c>
      <x:c r="F238" s="20" t="str">
        <x:v>证据包可读、可追溯、格式合规</x:v>
      </x:c>
      <x:c r="G238" s="20" t="str">
        <x:v>继承案件截止时间</x:v>
      </x:c>
      <x:c r="H238" s="20" t="str"/>
    </x:row>
    <x:row r="239" ht="66" customHeight="1">
      <x:c r="A239" s="20" t="str">
        <x:v>SYN-022</x:v>
      </x:c>
      <x:c r="B239" s="23" t="n">
        <x:v>7</x:v>
      </x:c>
      <x:c r="C239" s="20" t="str">
        <x:v>OUTCOME</x:v>
      </x:c>
      <x:c r="D239" s="20" t="str">
        <x:v>FINANCE</x:v>
      </x:c>
      <x:c r="E239" s="20" t="str">
        <x:v>记录拒付结果=EXPECTED_LOST；裁决结果=NOT_APPLICABLE，并核对临时贷记/退款/再扣款</x:v>
      </x:c>
      <x:c r="F239" s="20" t="str">
        <x:v>结果层级与资金状态分开落库</x:v>
      </x:c>
      <x:c r="G239" s="20" t="str">
        <x:v>继承案件截止时间</x:v>
      </x:c>
      <x:c r="H239" s="20" t="str"/>
    </x:row>
    <x:row r="240" ht="66" customHeight="1">
      <x:c r="A240" s="20" t="str">
        <x:v>SYN-023</x:v>
      </x:c>
      <x:c r="B240" s="23" t="n">
        <x:v>1</x:v>
      </x:c>
      <x:c r="C240" s="20" t="str">
        <x:v>INTAKE</x:v>
      </x:c>
      <x:c r="D240" s="20" t="str">
        <x:v>PSP_SUPPORT</x:v>
      </x:c>
      <x:c r="E240" s="20" t="str">
        <x:v>接收争议通知，记录金额、理由、截止时间与资金状态</x:v>
      </x:c>
      <x:c r="F240" s="20" t="str">
        <x:v>案件主键与截止时间已建立</x:v>
      </x:c>
      <x:c r="G240" s="20" t="str">
        <x:v>以实际通知为准；示例不声明统一时限</x:v>
      </x:c>
      <x:c r="H240" s="20" t="str"/>
    </x:row>
    <x:row r="241" ht="66" customHeight="1">
      <x:c r="A241" s="20" t="str">
        <x:v>SYN-023</x:v>
      </x:c>
      <x:c r="B241" s="23" t="n">
        <x:v>2</x:v>
      </x:c>
      <x:c r="C241" s="20" t="str">
        <x:v>CLASSIFY</x:v>
      </x:c>
      <x:c r="D241" s="20" t="str">
        <x:v>PSP_SUPPORT</x:v>
      </x:c>
      <x:c r="E241" s="20" t="str">
        <x:v>核对持卡人主张、交易事实与理由族，识别是否选错理由</x:v>
      </x:c>
      <x:c r="F241" s="20" t="str">
        <x:v>理由族已确认或转人工</x:v>
      </x:c>
      <x:c r="G241" s="20" t="str">
        <x:v>继承案件截止时间</x:v>
      </x:c>
      <x:c r="H241" s="20" t="str"/>
    </x:row>
    <x:row r="242" ht="66" customHeight="1">
      <x:c r="A242" s="20" t="str">
        <x:v>SYN-023</x:v>
      </x:c>
      <x:c r="B242" s="23" t="n">
        <x:v>3</x:v>
      </x:c>
      <x:c r="C242" s="20" t="str">
        <x:v>COLLECT</x:v>
      </x:c>
      <x:c r="D242" s="20" t="str">
        <x:v>PSP_SUPPORT</x:v>
      </x:c>
      <x:c r="E242" s="20" t="str">
        <x:v>按清单向商户/内部团队补证，并标记来源、时间和矛盾</x:v>
      </x:c>
      <x:c r="F242" s="20" t="str">
        <x:v>证据存在性与缺失项已登记</x:v>
      </x:c>
      <x:c r="G242" s="20" t="str">
        <x:v>继承案件截止时间</x:v>
      </x:c>
      <x:c r="H242" s="20" t="str"/>
    </x:row>
    <x:row r="243" ht="66" customHeight="1">
      <x:c r="A243" s="20" t="str">
        <x:v>SYN-023</x:v>
      </x:c>
      <x:c r="B243" s="23" t="n">
        <x:v>4</x:v>
      </x:c>
      <x:c r="C243" s="20" t="str">
        <x:v>REVIEW</x:v>
      </x:c>
      <x:c r="D243" s="20" t="str">
        <x:v>RISK</x:v>
      </x:c>
      <x:c r="E243" s="20" t="str">
        <x:v>检查证据相关性、真实性、格式、页数、金额和时限</x:v>
      </x:c>
      <x:c r="F243" s="20" t="str">
        <x:v>形成接受/申诉/升级建议</x:v>
      </x:c>
      <x:c r="G243" s="20" t="str">
        <x:v>继承案件截止时间</x:v>
      </x:c>
      <x:c r="H243" s="20" t="str">
        <x:v>CONFLICT_OR_WEAK_EVIDENCE</x:v>
      </x:c>
    </x:row>
    <x:row r="244" ht="66" customHeight="1">
      <x:c r="A244" s="20" t="str">
        <x:v>SYN-023</x:v>
      </x:c>
      <x:c r="B244" s="23" t="n">
        <x:v>5</x:v>
      </x:c>
      <x:c r="C244" s="20" t="str">
        <x:v>DECIDE</x:v>
      </x:c>
      <x:c r="D244" s="20" t="str">
        <x:v>PSP_SUPPORT</x:v>
      </x:c>
      <x:c r="E244" s="20" t="str">
        <x:v>建议接受或先补关键证据，避免无效抗辩</x:v>
      </x:c>
      <x:c r="F244" s="20" t="str">
        <x:v>保留人工决定与理由</x:v>
      </x:c>
      <x:c r="G244" s="20" t="str">
        <x:v>继承案件截止时间</x:v>
      </x:c>
      <x:c r="H244" s="20" t="str"/>
    </x:row>
    <x:row r="245" ht="66" customHeight="1">
      <x:c r="A245" s="20" t="str">
        <x:v>SYN-023</x:v>
      </x:c>
      <x:c r="B245" s="23" t="n">
        <x:v>6</x:v>
      </x:c>
      <x:c r="C245" s="20" t="str">
        <x:v>PACKAGE</x:v>
      </x:c>
      <x:c r="D245" s="20" t="str">
        <x:v>PSP_SUPPORT</x:v>
      </x:c>
      <x:c r="E245" s="20" t="str">
        <x:v>按事实时间线打包，去除敏感信息，不把无关材料堆入证据包</x:v>
      </x:c>
      <x:c r="F245" s="20" t="str">
        <x:v>证据包可读、可追溯、格式合规</x:v>
      </x:c>
      <x:c r="G245" s="20" t="str">
        <x:v>继承案件截止时间</x:v>
      </x:c>
      <x:c r="H245" s="20" t="str"/>
    </x:row>
    <x:row r="246" ht="66" customHeight="1">
      <x:c r="A246" s="20" t="str">
        <x:v>SYN-023</x:v>
      </x:c>
      <x:c r="B246" s="23" t="n">
        <x:v>7</x:v>
      </x:c>
      <x:c r="C246" s="20" t="str">
        <x:v>OUTCOME</x:v>
      </x:c>
      <x:c r="D246" s="20" t="str">
        <x:v>FINANCE</x:v>
      </x:c>
      <x:c r="E246" s="20" t="str">
        <x:v>记录拒付结果=EXPECTED_LOST；裁决结果=NOT_APPLICABLE，并核对临时贷记/退款/再扣款</x:v>
      </x:c>
      <x:c r="F246" s="20" t="str">
        <x:v>结果层级与资金状态分开落库</x:v>
      </x:c>
      <x:c r="G246" s="20" t="str">
        <x:v>继承案件截止时间</x:v>
      </x:c>
      <x:c r="H246" s="20" t="str"/>
    </x:row>
    <x:row r="247" ht="66" customHeight="1">
      <x:c r="A247" s="20" t="str">
        <x:v>SYN-024</x:v>
      </x:c>
      <x:c r="B247" s="23" t="n">
        <x:v>1</x:v>
      </x:c>
      <x:c r="C247" s="20" t="str">
        <x:v>INTAKE</x:v>
      </x:c>
      <x:c r="D247" s="20" t="str">
        <x:v>PSP_SUPPORT</x:v>
      </x:c>
      <x:c r="E247" s="20" t="str">
        <x:v>接收争议通知，记录金额、理由、截止时间与资金状态</x:v>
      </x:c>
      <x:c r="F247" s="20" t="str">
        <x:v>案件主键与截止时间已建立</x:v>
      </x:c>
      <x:c r="G247" s="20" t="str">
        <x:v>以实际通知为准；示例不声明统一时限</x:v>
      </x:c>
      <x:c r="H247" s="20" t="str"/>
    </x:row>
    <x:row r="248" ht="66" customHeight="1">
      <x:c r="A248" s="20" t="str">
        <x:v>SYN-024</x:v>
      </x:c>
      <x:c r="B248" s="23" t="n">
        <x:v>2</x:v>
      </x:c>
      <x:c r="C248" s="20" t="str">
        <x:v>CLASSIFY</x:v>
      </x:c>
      <x:c r="D248" s="20" t="str">
        <x:v>PSP_SUPPORT</x:v>
      </x:c>
      <x:c r="E248" s="20" t="str">
        <x:v>核对持卡人主张、交易事实与理由族，识别是否选错理由</x:v>
      </x:c>
      <x:c r="F248" s="20" t="str">
        <x:v>理由族已确认或转人工</x:v>
      </x:c>
      <x:c r="G248" s="20" t="str">
        <x:v>继承案件截止时间</x:v>
      </x:c>
      <x:c r="H248" s="20" t="str"/>
    </x:row>
    <x:row r="249" ht="66" customHeight="1">
      <x:c r="A249" s="20" t="str">
        <x:v>SYN-024</x:v>
      </x:c>
      <x:c r="B249" s="23" t="n">
        <x:v>3</x:v>
      </x:c>
      <x:c r="C249" s="20" t="str">
        <x:v>COLLECT</x:v>
      </x:c>
      <x:c r="D249" s="20" t="str">
        <x:v>PSP_SUPPORT</x:v>
      </x:c>
      <x:c r="E249" s="20" t="str">
        <x:v>按清单向商户/内部团队补证，并标记来源、时间和矛盾</x:v>
      </x:c>
      <x:c r="F249" s="20" t="str">
        <x:v>证据存在性与缺失项已登记</x:v>
      </x:c>
      <x:c r="G249" s="20" t="str">
        <x:v>继承案件截止时间</x:v>
      </x:c>
      <x:c r="H249" s="20" t="str"/>
    </x:row>
    <x:row r="250" ht="66" customHeight="1">
      <x:c r="A250" s="20" t="str">
        <x:v>SYN-024</x:v>
      </x:c>
      <x:c r="B250" s="23" t="n">
        <x:v>4</x:v>
      </x:c>
      <x:c r="C250" s="20" t="str">
        <x:v>REVIEW</x:v>
      </x:c>
      <x:c r="D250" s="20" t="str">
        <x:v>RISK</x:v>
      </x:c>
      <x:c r="E250" s="20" t="str">
        <x:v>检查证据相关性、真实性、格式、页数、金额和时限</x:v>
      </x:c>
      <x:c r="F250" s="20" t="str">
        <x:v>形成接受/申诉/升级建议</x:v>
      </x:c>
      <x:c r="G250" s="20" t="str">
        <x:v>继承案件截止时间</x:v>
      </x:c>
      <x:c r="H250" s="20" t="str">
        <x:v>CONFLICT_OR_WEAK_EVIDENCE</x:v>
      </x:c>
    </x:row>
    <x:row r="251" ht="66" customHeight="1">
      <x:c r="A251" s="20" t="str">
        <x:v>SYN-024</x:v>
      </x:c>
      <x:c r="B251" s="23" t="n">
        <x:v>5</x:v>
      </x:c>
      <x:c r="C251" s="20" t="str">
        <x:v>DECIDE</x:v>
      </x:c>
      <x:c r="D251" s="20" t="str">
        <x:v>PSP_SUPPORT</x:v>
      </x:c>
      <x:c r="E251" s="20" t="str">
        <x:v>人工确认后决定是否提交申诉</x:v>
      </x:c>
      <x:c r="F251" s="20" t="str">
        <x:v>保留人工决定与理由</x:v>
      </x:c>
      <x:c r="G251" s="20" t="str">
        <x:v>继承案件截止时间</x:v>
      </x:c>
      <x:c r="H251" s="20" t="str"/>
    </x:row>
    <x:row r="252" ht="66" customHeight="1">
      <x:c r="A252" s="20" t="str">
        <x:v>SYN-024</x:v>
      </x:c>
      <x:c r="B252" s="23" t="n">
        <x:v>6</x:v>
      </x:c>
      <x:c r="C252" s="20" t="str">
        <x:v>PACKAGE</x:v>
      </x:c>
      <x:c r="D252" s="20" t="str">
        <x:v>PSP_SUPPORT</x:v>
      </x:c>
      <x:c r="E252" s="20" t="str">
        <x:v>按事实时间线打包，去除敏感信息，不把无关材料堆入证据包</x:v>
      </x:c>
      <x:c r="F252" s="20" t="str">
        <x:v>证据包可读、可追溯、格式合规</x:v>
      </x:c>
      <x:c r="G252" s="20" t="str">
        <x:v>继承案件截止时间</x:v>
      </x:c>
      <x:c r="H252" s="20" t="str"/>
    </x:row>
    <x:row r="253" ht="66" customHeight="1">
      <x:c r="A253" s="20" t="str">
        <x:v>SYN-024</x:v>
      </x:c>
      <x:c r="B253" s="23" t="n">
        <x:v>7</x:v>
      </x:c>
      <x:c r="C253" s="20" t="str">
        <x:v>OUTCOME</x:v>
      </x:c>
      <x:c r="D253" s="20" t="str">
        <x:v>FINANCE</x:v>
      </x:c>
      <x:c r="E253" s="20" t="str">
        <x:v>记录拒付结果=EXPECTED_PENDING；裁决结果=NOT_APPLICABLE，并核对临时贷记/退款/再扣款</x:v>
      </x:c>
      <x:c r="F253" s="20" t="str">
        <x:v>结果层级与资金状态分开落库</x:v>
      </x:c>
      <x:c r="G253" s="20" t="str">
        <x:v>继承案件截止时间</x:v>
      </x:c>
      <x:c r="H253" s="20" t="str"/>
    </x:row>
  </x:sheetData>
  <x:pageMargins left="0.7" right="0.7" top="0.75" bottom="0.75" header="0.3" footer="0.3"/>
  <x:tableParts count="1">
    <x:tablePart xmlns:r="http://schemas.openxmlformats.org/officeDocument/2006/relationships" r:id="Rbd6eb845f00344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2" hidden="0" customWidth="1"/>
    <x:col min="5" max="5" width="20" hidden="0" customWidth="1"/>
    <x:col min="6" max="6" width="25" hidden="0" customWidth="1"/>
    <x:col min="7" max="7" width="18" hidden="0" customWidth="1"/>
    <x:col min="8" max="8" width="14" hidden="0" customWidth="1"/>
    <x:col min="9" max="9" width="34" hidden="0" customWidth="1"/>
    <x:col min="10" max="10" width="32" hidden="0" customWidth="1"/>
    <x:col min="11" max="11" width="28" hidden="0" customWidth="1"/>
    <x:col min="12" max="12" width="30" hidden="0" customWidth="1"/>
  </x:cols>
  <x:sheetData>
    <x:row r="1" ht="34" customHeight="1">
      <x:c r="A1" s="19" t="str">
        <x:v>case_id</x:v>
      </x:c>
      <x:c r="B1" s="19" t="str">
        <x:v>evidence_code</x:v>
      </x:c>
      <x:c r="C1" s="19" t="str">
        <x:v>evidence_name</x:v>
      </x:c>
      <x:c r="D1" s="19" t="str">
        <x:v>required</x:v>
      </x:c>
      <x:c r="E1" s="19" t="str">
        <x:v>available</x:v>
      </x:c>
      <x:c r="F1" s="19" t="str">
        <x:v>source</x:v>
      </x:c>
      <x:c r="G1" s="19" t="str">
        <x:v>quality</x:v>
      </x:c>
      <x:c r="H1" s="19" t="str">
        <x:v>critical</x:v>
      </x:c>
      <x:c r="I1" s="19" t="str">
        <x:v>why</x:v>
      </x:c>
      <x:c r="J1" s="19" t="str">
        <x:v>missing_impact</x:v>
      </x:c>
      <x:c r="K1" s="19" t="str">
        <x:v>contradiction</x:v>
      </x:c>
      <x:c r="L1" s="19" t="str">
        <x:v>privacy</x:v>
      </x:c>
    </x:row>
    <x:row r="2" ht="66" customHeight="1">
      <x:c r="A2" s="20" t="str">
        <x:v>PUB-001</x:v>
      </x:c>
      <x:c r="B2" s="20" t="str">
        <x:v>transaction.receipt</x:v>
      </x:c>
      <x:c r="C2" s="20" t="str">
        <x:v>交易收据</x:v>
      </x:c>
      <x:c r="D2" s="20" t="str">
        <x:v>YES</x:v>
      </x:c>
      <x:c r="E2" s="20" t="str">
        <x:v>YES</x:v>
      </x:c>
      <x:c r="F2" s="20" t="str">
        <x:v>PUBLIC_DECISION_SUMMARY</x:v>
      </x:c>
      <x:c r="G2" s="20" t="str">
        <x:v>PUBLIC_SUMMARY</x:v>
      </x:c>
      <x:c r="H2" s="20" t="str">
        <x:v>YES</x:v>
      </x:c>
      <x:c r="I2" s="20" t="str">
        <x:v>证明交易金额、时间和商户主体</x:v>
      </x:c>
      <x:c r="J2" s="20" t="str"/>
      <x:c r="K2" s="20" t="str"/>
      <x:c r="L2" s="20" t="str">
        <x:v>仅记录类型与是否存在，不存原值</x:v>
      </x:c>
    </x:row>
    <x:row r="3" ht="66" customHeight="1">
      <x:c r="A3" s="20" t="str">
        <x:v>PUB-001</x:v>
      </x:c>
      <x:c r="B3" s="20" t="str">
        <x:v>auth.threeds</x:v>
      </x:c>
      <x:c r="C3" s="20" t="str">
        <x:v>3DS认证</x:v>
      </x:c>
      <x:c r="D3" s="20" t="str">
        <x:v>YES</x:v>
      </x:c>
      <x:c r="E3" s="20" t="str">
        <x:v>NO_OR_NOT_DISCLOSED</x:v>
      </x:c>
      <x:c r="F3" s="20" t="str">
        <x:v>NOT_DISCLOSED</x:v>
      </x:c>
      <x:c r="G3" s="20" t="str">
        <x:v>UNKNOWN</x:v>
      </x:c>
      <x:c r="H3" s="20" t="str">
        <x:v>YES</x:v>
      </x:c>
      <x:c r="I3" s="20" t="str">
        <x:v>核对强认证与责任转移</x:v>
      </x:c>
      <x:c r="J3" s="20" t="str">
        <x:v>可能降低可抗辩性或触发人工复核</x:v>
      </x:c>
      <x:c r="K3" s="20" t="str"/>
      <x:c r="L3" s="20" t="str">
        <x:v>仅记录类型与是否存在，不存原值</x:v>
      </x:c>
    </x:row>
    <x:row r="4" ht="66" customHeight="1">
      <x:c r="A4" s="20" t="str">
        <x:v>PUB-001</x:v>
      </x:c>
      <x:c r="B4" s="20" t="str">
        <x:v>auth.avs_result</x:v>
      </x:c>
      <x:c r="C4" s="20" t="str">
        <x:v>AVS结果</x:v>
      </x:c>
      <x:c r="D4" s="20" t="str">
        <x:v>YES</x:v>
      </x:c>
      <x:c r="E4" s="20" t="str">
        <x:v>NO_OR_NOT_DISCLOSED</x:v>
      </x:c>
      <x:c r="F4" s="20" t="str">
        <x:v>NOT_DISCLOSED</x:v>
      </x:c>
      <x:c r="G4" s="20" t="str">
        <x:v>UNKNOWN</x:v>
      </x:c>
      <x:c r="H4" s="20" t="str">
        <x:v>CONTEXTUAL</x:v>
      </x:c>
      <x:c r="I4" s="20" t="str">
        <x:v>核对账单地址验证结果</x:v>
      </x:c>
      <x:c r="J4" s="20" t="str">
        <x:v>可能降低可抗辩性或触发人工复核</x:v>
      </x:c>
      <x:c r="K4" s="20" t="str"/>
      <x:c r="L4" s="20" t="str">
        <x:v>仅记录类型与是否存在，不存原值</x:v>
      </x:c>
    </x:row>
    <x:row r="5" ht="66" customHeight="1">
      <x:c r="A5" s="20" t="str">
        <x:v>PUB-001</x:v>
      </x:c>
      <x:c r="B5" s="20" t="str">
        <x:v>auth.cvv_result</x:v>
      </x:c>
      <x:c r="C5" s="20" t="str">
        <x:v>CVV结果</x:v>
      </x:c>
      <x:c r="D5" s="20" t="str">
        <x:v>YES</x:v>
      </x:c>
      <x:c r="E5" s="20" t="str">
        <x:v>NO_OR_NOT_DISCLOSED</x:v>
      </x:c>
      <x:c r="F5" s="20" t="str">
        <x:v>NOT_DISCLOSED</x:v>
      </x:c>
      <x:c r="G5" s="20" t="str">
        <x:v>UNKNOWN</x:v>
      </x:c>
      <x:c r="H5" s="20" t="str">
        <x:v>CONTEXTUAL</x:v>
      </x:c>
      <x:c r="I5" s="20" t="str">
        <x:v>核对卡背码验证结果</x:v>
      </x:c>
      <x:c r="J5" s="20" t="str">
        <x:v>可能降低可抗辩性或触发人工复核</x:v>
      </x:c>
      <x:c r="K5" s="20" t="str"/>
      <x:c r="L5" s="20" t="str">
        <x:v>仅记录类型与是否存在，不存原值</x:v>
      </x:c>
    </x:row>
    <x:row r="6" ht="66" customHeight="1">
      <x:c r="A6" s="20" t="str">
        <x:v>PUB-001</x:v>
      </x:c>
      <x:c r="B6" s="20" t="str">
        <x:v>auth.device_ip_match</x:v>
      </x:c>
      <x:c r="C6" s="20" t="str">
        <x:v>设备/IP匹配</x:v>
      </x:c>
      <x:c r="D6" s="20" t="str">
        <x:v>YES</x:v>
      </x:c>
      <x:c r="E6" s="20" t="str">
        <x:v>YES</x:v>
      </x:c>
      <x:c r="F6" s="20" t="str">
        <x:v>PUBLIC_DECISION_SUMMARY</x:v>
      </x:c>
      <x:c r="G6" s="20" t="str">
        <x:v>PUBLIC_SUMMARY</x:v>
      </x:c>
      <x:c r="H6" s="20" t="str">
        <x:v>CONTEXTUAL</x:v>
      </x:c>
      <x:c r="I6" s="20" t="str">
        <x:v>核对本次与历史行为一致性</x:v>
      </x:c>
      <x:c r="J6" s="20" t="str"/>
      <x:c r="K6" s="20" t="str"/>
      <x:c r="L6" s="20" t="str">
        <x:v>仅记录类型与是否存在，不存原值</x:v>
      </x:c>
    </x:row>
    <x:row r="7" ht="66" customHeight="1">
      <x:c r="A7" s="20" t="str">
        <x:v>PUB-001</x:v>
      </x:c>
      <x:c r="B7" s="20" t="str">
        <x:v>history.prior_transactions</x:v>
      </x:c>
      <x:c r="C7" s="20" t="str">
        <x:v>历史交易</x:v>
      </x:c>
      <x:c r="D7" s="20" t="str">
        <x:v>YES</x:v>
      </x:c>
      <x:c r="E7" s="20" t="str">
        <x:v>YES</x:v>
      </x:c>
      <x:c r="F7" s="20" t="str">
        <x:v>PUBLIC_DECISION_SUMMARY</x:v>
      </x:c>
      <x:c r="G7" s="20" t="str">
        <x:v>PUBLIC_SUMMARY</x:v>
      </x:c>
      <x:c r="H7" s="20" t="str">
        <x:v>CONTEXTUAL</x:v>
      </x:c>
      <x:c r="I7" s="20" t="str">
        <x:v>显示既往正常交易关系</x:v>
      </x:c>
      <x:c r="J7" s="20" t="str"/>
      <x:c r="K7" s="20" t="str"/>
      <x:c r="L7" s="20" t="str">
        <x:v>仅记录类型与是否存在，不存原值</x:v>
      </x:c>
    </x:row>
    <x:row r="8" ht="66" customHeight="1">
      <x:c r="A8" s="20" t="str">
        <x:v>PUB-002</x:v>
      </x:c>
      <x:c r="B8" s="20" t="str">
        <x:v>transaction.receipt</x:v>
      </x:c>
      <x:c r="C8" s="20" t="str">
        <x:v>交易收据</x:v>
      </x:c>
      <x:c r="D8" s="20" t="str">
        <x:v>YES</x:v>
      </x:c>
      <x:c r="E8" s="20" t="str">
        <x:v>YES</x:v>
      </x:c>
      <x:c r="F8" s="20" t="str">
        <x:v>PUBLIC_DECISION_SUMMARY</x:v>
      </x:c>
      <x:c r="G8" s="20" t="str">
        <x:v>PUBLIC_SUMMARY</x:v>
      </x:c>
      <x:c r="H8" s="20" t="str">
        <x:v>YES</x:v>
      </x:c>
      <x:c r="I8" s="20" t="str">
        <x:v>证明交易金额、时间和商户主体</x:v>
      </x:c>
      <x:c r="J8" s="20" t="str"/>
      <x:c r="K8" s="20" t="str"/>
      <x:c r="L8" s="20" t="str">
        <x:v>仅记录类型与是否存在，不存原值</x:v>
      </x:c>
    </x:row>
    <x:row r="9" ht="66" customHeight="1">
      <x:c r="A9" s="20" t="str">
        <x:v>PUB-002</x:v>
      </x:c>
      <x:c r="B9" s="20" t="str">
        <x:v>subscription.cancellation_record</x:v>
      </x:c>
      <x:c r="C9" s="20" t="str">
        <x:v>取消记录</x:v>
      </x:c>
      <x:c r="D9" s="20" t="str">
        <x:v>YES</x:v>
      </x:c>
      <x:c r="E9" s="20" t="str">
        <x:v>NO_OR_NOT_DISCLOSED</x:v>
      </x:c>
      <x:c r="F9" s="20" t="str">
        <x:v>NOT_DISCLOSED</x:v>
      </x:c>
      <x:c r="G9" s="20" t="str">
        <x:v>UNKNOWN</x:v>
      </x:c>
      <x:c r="H9" s="20" t="str">
        <x:v>YES</x:v>
      </x:c>
      <x:c r="I9" s="20" t="str">
        <x:v>界定取消与扣款先后</x:v>
      </x:c>
      <x:c r="J9" s="20" t="str">
        <x:v>可能降低可抗辩性或触发人工复核</x:v>
      </x:c>
      <x:c r="K9" s="20" t="str"/>
      <x:c r="L9" s="20" t="str">
        <x:v>仅记录类型与是否存在，不存原值</x:v>
      </x:c>
    </x:row>
    <x:row r="10" ht="66" customHeight="1">
      <x:c r="A10" s="20" t="str">
        <x:v>PUB-002</x:v>
      </x:c>
      <x:c r="B10" s="20" t="str">
        <x:v>policy.terms_refund</x:v>
      </x:c>
      <x:c r="C10" s="20" t="str">
        <x:v>条款与退款政策</x:v>
      </x:c>
      <x:c r="D10" s="20" t="str">
        <x:v>YES</x:v>
      </x:c>
      <x:c r="E10" s="20" t="str">
        <x:v>YES</x:v>
      </x:c>
      <x:c r="F10" s="20" t="str">
        <x:v>PUBLIC_DECISION_SUMMARY</x:v>
      </x:c>
      <x:c r="G10" s="20" t="str">
        <x:v>PUBLIC_SUMMARY</x:v>
      </x:c>
      <x:c r="H10" s="20" t="str">
        <x:v>CONTEXTUAL</x:v>
      </x:c>
      <x:c r="I10" s="20" t="str">
        <x:v>证明交易时披露并同意的规则</x:v>
      </x:c>
      <x:c r="J10" s="20" t="str"/>
      <x:c r="K10" s="20" t="str"/>
      <x:c r="L10" s="20" t="str">
        <x:v>仅记录类型与是否存在，不存原值</x:v>
      </x:c>
    </x:row>
    <x:row r="11" ht="66" customHeight="1">
      <x:c r="A11" s="20" t="str">
        <x:v>PUB-002</x:v>
      </x:c>
      <x:c r="B11" s="20" t="str">
        <x:v>comms.customer</x:v>
      </x:c>
      <x:c r="C11" s="20" t="str">
        <x:v>客户沟通</x:v>
      </x:c>
      <x:c r="D11" s="20" t="str">
        <x:v>YES</x:v>
      </x:c>
      <x:c r="E11" s="20" t="str">
        <x:v>YES</x:v>
      </x:c>
      <x:c r="F11" s="20" t="str">
        <x:v>PUBLIC_DECISION_SUMMARY</x:v>
      </x:c>
      <x:c r="G11" s="20" t="str">
        <x:v>PUBLIC_SUMMARY</x:v>
      </x:c>
      <x:c r="H11" s="20" t="str">
        <x:v>CONTEXTUAL</x:v>
      </x:c>
      <x:c r="I11" s="20" t="str">
        <x:v>还原投诉、补救与时间线</x:v>
      </x:c>
      <x:c r="J11" s="20" t="str"/>
      <x:c r="K11" s="20" t="str"/>
      <x:c r="L11" s="20" t="str">
        <x:v>仅记录类型与是否存在，不存原值</x:v>
      </x:c>
    </x:row>
    <x:row r="12" ht="66" customHeight="1">
      <x:c r="A12" s="20" t="str">
        <x:v>PUB-003</x:v>
      </x:c>
      <x:c r="B12" s="20" t="str">
        <x:v>transaction.receipt</x:v>
      </x:c>
      <x:c r="C12" s="20" t="str">
        <x:v>交易收据</x:v>
      </x:c>
      <x:c r="D12" s="20" t="str">
        <x:v>YES</x:v>
      </x:c>
      <x:c r="E12" s="20" t="str">
        <x:v>YES</x:v>
      </x:c>
      <x:c r="F12" s="20" t="str">
        <x:v>PUBLIC_DECISION_SUMMARY</x:v>
      </x:c>
      <x:c r="G12" s="20" t="str">
        <x:v>PUBLIC_SUMMARY</x:v>
      </x:c>
      <x:c r="H12" s="20" t="str">
        <x:v>YES</x:v>
      </x:c>
      <x:c r="I12" s="20" t="str">
        <x:v>证明交易金额、时间和商户主体</x:v>
      </x:c>
      <x:c r="J12" s="20" t="str"/>
      <x:c r="K12" s="20" t="str"/>
      <x:c r="L12" s="20" t="str">
        <x:v>仅记录类型与是否存在，不存原值</x:v>
      </x:c>
    </x:row>
    <x:row r="13" ht="66" customHeight="1">
      <x:c r="A13" s="20" t="str">
        <x:v>PUB-003</x:v>
      </x:c>
      <x:c r="B13" s="20" t="str">
        <x:v>fulfillment.tracking</x:v>
      </x:c>
      <x:c r="C13" s="20" t="str">
        <x:v>物流轨迹</x:v>
      </x:c>
      <x:c r="D13" s="20" t="str">
        <x:v>YES</x:v>
      </x:c>
      <x:c r="E13" s="20" t="str">
        <x:v>NO_OR_NOT_DISCLOSED</x:v>
      </x:c>
      <x:c r="F13" s="20" t="str">
        <x:v>NOT_DISCLOSED</x:v>
      </x:c>
      <x:c r="G13" s="20" t="str">
        <x:v>UNKNOWN</x:v>
      </x:c>
      <x:c r="H13" s="20" t="str">
        <x:v>CONTEXTUAL</x:v>
      </x:c>
      <x:c r="I13" s="20" t="str">
        <x:v>证明发货与运输节点</x:v>
      </x:c>
      <x:c r="J13" s="20" t="str">
        <x:v>可能降低可抗辩性或触发人工复核</x:v>
      </x:c>
      <x:c r="K13" s="20" t="str"/>
      <x:c r="L13" s="20" t="str">
        <x:v>仅记录类型与是否存在，不存原值</x:v>
      </x:c>
    </x:row>
    <x:row r="14" ht="66" customHeight="1">
      <x:c r="A14" s="20" t="str">
        <x:v>PUB-003</x:v>
      </x:c>
      <x:c r="B14" s="20" t="str">
        <x:v>fulfillment.proof_of_delivery</x:v>
      </x:c>
      <x:c r="C14" s="20" t="str">
        <x:v>签收证明</x:v>
      </x:c>
      <x:c r="D14" s="20" t="str">
        <x:v>YES</x:v>
      </x:c>
      <x:c r="E14" s="20" t="str">
        <x:v>NO_OR_NOT_DISCLOSED</x:v>
      </x:c>
      <x:c r="F14" s="20" t="str">
        <x:v>NOT_DISCLOSED</x:v>
      </x:c>
      <x:c r="G14" s="20" t="str">
        <x:v>UNKNOWN</x:v>
      </x:c>
      <x:c r="H14" s="20" t="str">
        <x:v>YES</x:v>
      </x:c>
      <x:c r="I14" s="20" t="str">
        <x:v>证明送达时间、地点或签收人</x:v>
      </x:c>
      <x:c r="J14" s="20" t="str">
        <x:v>可能降低可抗辩性或触发人工复核</x:v>
      </x:c>
      <x:c r="K14" s="20" t="str"/>
      <x:c r="L14" s="20" t="str">
        <x:v>仅记录类型与是否存在，不存原值</x:v>
      </x:c>
    </x:row>
    <x:row r="15" ht="66" customHeight="1">
      <x:c r="A15" s="20" t="str">
        <x:v>PUB-003</x:v>
      </x:c>
      <x:c r="B15" s="20" t="str">
        <x:v>fulfillment.address_match</x:v>
      </x:c>
      <x:c r="C15" s="20" t="str">
        <x:v>地址匹配</x:v>
      </x:c>
      <x:c r="D15" s="20" t="str">
        <x:v>YES</x:v>
      </x:c>
      <x:c r="E15" s="20" t="str">
        <x:v>NO_OR_NOT_DISCLOSED</x:v>
      </x:c>
      <x:c r="F15" s="20" t="str">
        <x:v>NOT_DISCLOSED</x:v>
      </x:c>
      <x:c r="G15" s="20" t="str">
        <x:v>UNKNOWN</x:v>
      </x:c>
      <x:c r="H15" s="20" t="str">
        <x:v>CONTEXTUAL</x:v>
      </x:c>
      <x:c r="I15" s="20" t="str">
        <x:v>核对订单与履约地址</x:v>
      </x:c>
      <x:c r="J15" s="20" t="str">
        <x:v>可能降低可抗辩性或触发人工复核</x:v>
      </x:c>
      <x:c r="K15" s="20" t="str"/>
      <x:c r="L15" s="20" t="str">
        <x:v>仅记录类型与是否存在，不存原值</x:v>
      </x:c>
    </x:row>
    <x:row r="16" ht="66" customHeight="1">
      <x:c r="A16" s="20" t="str">
        <x:v>PUB-003</x:v>
      </x:c>
      <x:c r="B16" s="20" t="str">
        <x:v>comms.customer</x:v>
      </x:c>
      <x:c r="C16" s="20" t="str">
        <x:v>客户沟通</x:v>
      </x:c>
      <x:c r="D16" s="20" t="str">
        <x:v>YES</x:v>
      </x:c>
      <x:c r="E16" s="20" t="str">
        <x:v>YES</x:v>
      </x:c>
      <x:c r="F16" s="20" t="str">
        <x:v>PUBLIC_DECISION_SUMMARY</x:v>
      </x:c>
      <x:c r="G16" s="20" t="str">
        <x:v>PUBLIC_SUMMARY</x:v>
      </x:c>
      <x:c r="H16" s="20" t="str">
        <x:v>CONTEXTUAL</x:v>
      </x:c>
      <x:c r="I16" s="20" t="str">
        <x:v>还原投诉、补救与时间线</x:v>
      </x:c>
      <x:c r="J16" s="20" t="str"/>
      <x:c r="K16" s="20" t="str"/>
      <x:c r="L16" s="20" t="str">
        <x:v>仅记录类型与是否存在，不存原值</x:v>
      </x:c>
    </x:row>
    <x:row r="17" ht="66" customHeight="1">
      <x:c r="A17" s="20" t="str">
        <x:v>PUB-004</x:v>
      </x:c>
      <x:c r="B17" s="20" t="str">
        <x:v>transaction.receipt</x:v>
      </x:c>
      <x:c r="C17" s="20" t="str">
        <x:v>交易收据</x:v>
      </x:c>
      <x:c r="D17" s="20" t="str">
        <x:v>YES</x:v>
      </x:c>
      <x:c r="E17" s="20" t="str">
        <x:v>YES</x:v>
      </x:c>
      <x:c r="F17" s="20" t="str">
        <x:v>PUBLIC_DECISION_SUMMARY</x:v>
      </x:c>
      <x:c r="G17" s="20" t="str">
        <x:v>PUBLIC_SUMMARY</x:v>
      </x:c>
      <x:c r="H17" s="20" t="str">
        <x:v>YES</x:v>
      </x:c>
      <x:c r="I17" s="20" t="str">
        <x:v>证明交易金额、时间和商户主体</x:v>
      </x:c>
      <x:c r="J17" s="20" t="str"/>
      <x:c r="K17" s="20" t="str"/>
      <x:c r="L17" s="20" t="str">
        <x:v>仅记录类型与是否存在，不存原值</x:v>
      </x:c>
    </x:row>
    <x:row r="18" ht="66" customHeight="1">
      <x:c r="A18" s="20" t="str">
        <x:v>PUB-004</x:v>
      </x:c>
      <x:c r="B18" s="20" t="str">
        <x:v>fulfillment.tracking</x:v>
      </x:c>
      <x:c r="C18" s="20" t="str">
        <x:v>物流轨迹</x:v>
      </x:c>
      <x:c r="D18" s="20" t="str">
        <x:v>YES</x:v>
      </x:c>
      <x:c r="E18" s="20" t="str">
        <x:v>NO_OR_NOT_DISCLOSED</x:v>
      </x:c>
      <x:c r="F18" s="20" t="str">
        <x:v>NOT_DISCLOSED</x:v>
      </x:c>
      <x:c r="G18" s="20" t="str">
        <x:v>UNKNOWN</x:v>
      </x:c>
      <x:c r="H18" s="20" t="str">
        <x:v>CONTEXTUAL</x:v>
      </x:c>
      <x:c r="I18" s="20" t="str">
        <x:v>证明发货与运输节点</x:v>
      </x:c>
      <x:c r="J18" s="20" t="str">
        <x:v>可能降低可抗辩性或触发人工复核</x:v>
      </x:c>
      <x:c r="K18" s="20" t="str"/>
      <x:c r="L18" s="20" t="str">
        <x:v>仅记录类型与是否存在，不存原值</x:v>
      </x:c>
    </x:row>
    <x:row r="19" ht="66" customHeight="1">
      <x:c r="A19" s="20" t="str">
        <x:v>PUB-004</x:v>
      </x:c>
      <x:c r="B19" s="20" t="str">
        <x:v>fulfillment.proof_of_delivery</x:v>
      </x:c>
      <x:c r="C19" s="20" t="str">
        <x:v>签收证明</x:v>
      </x:c>
      <x:c r="D19" s="20" t="str">
        <x:v>YES</x:v>
      </x:c>
      <x:c r="E19" s="20" t="str">
        <x:v>NO_OR_NOT_DISCLOSED</x:v>
      </x:c>
      <x:c r="F19" s="20" t="str">
        <x:v>NOT_DISCLOSED</x:v>
      </x:c>
      <x:c r="G19" s="20" t="str">
        <x:v>UNKNOWN</x:v>
      </x:c>
      <x:c r="H19" s="20" t="str">
        <x:v>YES</x:v>
      </x:c>
      <x:c r="I19" s="20" t="str">
        <x:v>证明送达时间、地点或签收人</x:v>
      </x:c>
      <x:c r="J19" s="20" t="str">
        <x:v>可能降低可抗辩性或触发人工复核</x:v>
      </x:c>
      <x:c r="K19" s="20" t="str"/>
      <x:c r="L19" s="20" t="str">
        <x:v>仅记录类型与是否存在，不存原值</x:v>
      </x:c>
    </x:row>
    <x:row r="20" ht="66" customHeight="1">
      <x:c r="A20" s="20" t="str">
        <x:v>PUB-004</x:v>
      </x:c>
      <x:c r="B20" s="20" t="str">
        <x:v>fulfillment.address_match</x:v>
      </x:c>
      <x:c r="C20" s="20" t="str">
        <x:v>地址匹配</x:v>
      </x:c>
      <x:c r="D20" s="20" t="str">
        <x:v>YES</x:v>
      </x:c>
      <x:c r="E20" s="20" t="str">
        <x:v>NO_OR_NOT_DISCLOSED</x:v>
      </x:c>
      <x:c r="F20" s="20" t="str">
        <x:v>NOT_DISCLOSED</x:v>
      </x:c>
      <x:c r="G20" s="20" t="str">
        <x:v>UNKNOWN</x:v>
      </x:c>
      <x:c r="H20" s="20" t="str">
        <x:v>CONTEXTUAL</x:v>
      </x:c>
      <x:c r="I20" s="20" t="str">
        <x:v>核对订单与履约地址</x:v>
      </x:c>
      <x:c r="J20" s="20" t="str">
        <x:v>可能降低可抗辩性或触发人工复核</x:v>
      </x:c>
      <x:c r="K20" s="20" t="str"/>
      <x:c r="L20" s="20" t="str">
        <x:v>仅记录类型与是否存在，不存原值</x:v>
      </x:c>
    </x:row>
    <x:row r="21" ht="66" customHeight="1">
      <x:c r="A21" s="20" t="str">
        <x:v>PUB-004</x:v>
      </x:c>
      <x:c r="B21" s="20" t="str">
        <x:v>comms.customer</x:v>
      </x:c>
      <x:c r="C21" s="20" t="str">
        <x:v>客户沟通</x:v>
      </x:c>
      <x:c r="D21" s="20" t="str">
        <x:v>YES</x:v>
      </x:c>
      <x:c r="E21" s="20" t="str">
        <x:v>YES</x:v>
      </x:c>
      <x:c r="F21" s="20" t="str">
        <x:v>PUBLIC_DECISION_SUMMARY</x:v>
      </x:c>
      <x:c r="G21" s="20" t="str">
        <x:v>PUBLIC_SUMMARY</x:v>
      </x:c>
      <x:c r="H21" s="20" t="str">
        <x:v>CONTEXTUAL</x:v>
      </x:c>
      <x:c r="I21" s="20" t="str">
        <x:v>还原投诉、补救与时间线</x:v>
      </x:c>
      <x:c r="J21" s="20" t="str"/>
      <x:c r="K21" s="20" t="str"/>
      <x:c r="L21" s="20" t="str">
        <x:v>仅记录类型与是否存在，不存原值</x:v>
      </x:c>
    </x:row>
    <x:row r="22" ht="66" customHeight="1">
      <x:c r="A22" s="20" t="str">
        <x:v>PUB-005</x:v>
      </x:c>
      <x:c r="B22" s="20" t="str">
        <x:v>transaction.receipt</x:v>
      </x:c>
      <x:c r="C22" s="20" t="str">
        <x:v>交易收据</x:v>
      </x:c>
      <x:c r="D22" s="20" t="str">
        <x:v>YES</x:v>
      </x:c>
      <x:c r="E22" s="20" t="str">
        <x:v>YES</x:v>
      </x:c>
      <x:c r="F22" s="20" t="str">
        <x:v>PUBLIC_DECISION_SUMMARY</x:v>
      </x:c>
      <x:c r="G22" s="20" t="str">
        <x:v>PUBLIC_SUMMARY</x:v>
      </x:c>
      <x:c r="H22" s="20" t="str">
        <x:v>YES</x:v>
      </x:c>
      <x:c r="I22" s="20" t="str">
        <x:v>证明交易金额、时间和商户主体</x:v>
      </x:c>
      <x:c r="J22" s="20" t="str"/>
      <x:c r="K22" s="20" t="str"/>
      <x:c r="L22" s="20" t="str">
        <x:v>仅记录类型与是否存在，不存原值</x:v>
      </x:c>
    </x:row>
    <x:row r="23" ht="66" customHeight="1">
      <x:c r="A23" s="20" t="str">
        <x:v>PUB-005</x:v>
      </x:c>
      <x:c r="B23" s="20" t="str">
        <x:v>product.description</x:v>
      </x:c>
      <x:c r="C23" s="20" t="str">
        <x:v>商品描述</x:v>
      </x:c>
      <x:c r="D23" s="20" t="str">
        <x:v>YES</x:v>
      </x:c>
      <x:c r="E23" s="20" t="str">
        <x:v>YES</x:v>
      </x:c>
      <x:c r="F23" s="20" t="str">
        <x:v>PUBLIC_DECISION_SUMMARY</x:v>
      </x:c>
      <x:c r="G23" s="20" t="str">
        <x:v>PUBLIC_SUMMARY</x:v>
      </x:c>
      <x:c r="H23" s="20" t="str">
        <x:v>YES</x:v>
      </x:c>
      <x:c r="I23" s="20" t="str">
        <x:v>固定交易时展示的规格与承诺</x:v>
      </x:c>
      <x:c r="J23" s="20" t="str"/>
      <x:c r="K23" s="20" t="str"/>
      <x:c r="L23" s="20" t="str">
        <x:v>仅记录类型与是否存在，不存原值</x:v>
      </x:c>
    </x:row>
    <x:row r="24" ht="66" customHeight="1">
      <x:c r="A24" s="20" t="str">
        <x:v>PUB-005</x:v>
      </x:c>
      <x:c r="B24" s="20" t="str">
        <x:v>comms.customer</x:v>
      </x:c>
      <x:c r="C24" s="20" t="str">
        <x:v>客户沟通</x:v>
      </x:c>
      <x:c r="D24" s="20" t="str">
        <x:v>YES</x:v>
      </x:c>
      <x:c r="E24" s="20" t="str">
        <x:v>YES</x:v>
      </x:c>
      <x:c r="F24" s="20" t="str">
        <x:v>PUBLIC_DECISION_SUMMARY</x:v>
      </x:c>
      <x:c r="G24" s="20" t="str">
        <x:v>PUBLIC_SUMMARY</x:v>
      </x:c>
      <x:c r="H24" s="20" t="str">
        <x:v>CONTEXTUAL</x:v>
      </x:c>
      <x:c r="I24" s="20" t="str">
        <x:v>还原投诉、补救与时间线</x:v>
      </x:c>
      <x:c r="J24" s="20" t="str"/>
      <x:c r="K24" s="20" t="str"/>
      <x:c r="L24" s="20" t="str">
        <x:v>仅记录类型与是否存在，不存原值</x:v>
      </x:c>
    </x:row>
    <x:row r="25" ht="66" customHeight="1">
      <x:c r="A25" s="20" t="str">
        <x:v>PUB-005</x:v>
      </x:c>
      <x:c r="B25" s="20" t="str">
        <x:v>policy.terms_refund</x:v>
      </x:c>
      <x:c r="C25" s="20" t="str">
        <x:v>条款与退款政策</x:v>
      </x:c>
      <x:c r="D25" s="20" t="str">
        <x:v>YES</x:v>
      </x:c>
      <x:c r="E25" s="20" t="str">
        <x:v>NO_OR_NOT_DISCLOSED</x:v>
      </x:c>
      <x:c r="F25" s="20" t="str">
        <x:v>NOT_DISCLOSED</x:v>
      </x:c>
      <x:c r="G25" s="20" t="str">
        <x:v>UNKNOWN</x:v>
      </x:c>
      <x:c r="H25" s="20" t="str">
        <x:v>CONTEXTUAL</x:v>
      </x:c>
      <x:c r="I25" s="20" t="str">
        <x:v>证明交易时披露并同意的规则</x:v>
      </x:c>
      <x:c r="J25" s="20" t="str">
        <x:v>可能降低可抗辩性或触发人工复核</x:v>
      </x:c>
      <x:c r="K25" s="20" t="str"/>
      <x:c r="L25" s="20" t="str">
        <x:v>仅记录类型与是否存在，不存原值</x:v>
      </x:c>
    </x:row>
    <x:row r="26" ht="66" customHeight="1">
      <x:c r="A26" s="20" t="str">
        <x:v>PUB-005</x:v>
      </x:c>
      <x:c r="B26" s="20" t="str">
        <x:v>fulfillment.proof_of_delivery</x:v>
      </x:c>
      <x:c r="C26" s="20" t="str">
        <x:v>签收证明</x:v>
      </x:c>
      <x:c r="D26" s="20" t="str">
        <x:v>YES</x:v>
      </x:c>
      <x:c r="E26" s="20" t="str">
        <x:v>YES</x:v>
      </x:c>
      <x:c r="F26" s="20" t="str">
        <x:v>PUBLIC_DECISION_SUMMARY</x:v>
      </x:c>
      <x:c r="G26" s="20" t="str">
        <x:v>PUBLIC_SUMMARY</x:v>
      </x:c>
      <x:c r="H26" s="20" t="str">
        <x:v>YES</x:v>
      </x:c>
      <x:c r="I26" s="20" t="str">
        <x:v>证明送达时间、地点或签收人</x:v>
      </x:c>
      <x:c r="J26" s="20" t="str"/>
      <x:c r="K26" s="20" t="str"/>
      <x:c r="L26" s="20" t="str">
        <x:v>仅记录类型与是否存在，不存原值</x:v>
      </x:c>
    </x:row>
    <x:row r="27" ht="66" customHeight="1">
      <x:c r="A27" s="20" t="str">
        <x:v>PUB-006</x:v>
      </x:c>
      <x:c r="B27" s="20" t="str">
        <x:v>transaction.receipt</x:v>
      </x:c>
      <x:c r="C27" s="20" t="str">
        <x:v>交易收据</x:v>
      </x:c>
      <x:c r="D27" s="20" t="str">
        <x:v>YES</x:v>
      </x:c>
      <x:c r="E27" s="20" t="str">
        <x:v>YES</x:v>
      </x:c>
      <x:c r="F27" s="20" t="str">
        <x:v>PUBLIC_DECISION_SUMMARY</x:v>
      </x:c>
      <x:c r="G27" s="20" t="str">
        <x:v>PUBLIC_SUMMARY</x:v>
      </x:c>
      <x:c r="H27" s="20" t="str">
        <x:v>YES</x:v>
      </x:c>
      <x:c r="I27" s="20" t="str">
        <x:v>证明交易金额、时间和商户主体</x:v>
      </x:c>
      <x:c r="J27" s="20" t="str"/>
      <x:c r="K27" s="20" t="str"/>
      <x:c r="L27" s="20" t="str">
        <x:v>仅记录类型与是否存在，不存原值</x:v>
      </x:c>
    </x:row>
    <x:row r="28" ht="66" customHeight="1">
      <x:c r="A28" s="20" t="str">
        <x:v>PUB-006</x:v>
      </x:c>
      <x:c r="B28" s="20" t="str">
        <x:v>fulfillment.tracking</x:v>
      </x:c>
      <x:c r="C28" s="20" t="str">
        <x:v>物流轨迹</x:v>
      </x:c>
      <x:c r="D28" s="20" t="str">
        <x:v>YES</x:v>
      </x:c>
      <x:c r="E28" s="20" t="str">
        <x:v>NO_OR_NOT_DISCLOSED</x:v>
      </x:c>
      <x:c r="F28" s="20" t="str">
        <x:v>NOT_DISCLOSED</x:v>
      </x:c>
      <x:c r="G28" s="20" t="str">
        <x:v>UNKNOWN</x:v>
      </x:c>
      <x:c r="H28" s="20" t="str">
        <x:v>CONTEXTUAL</x:v>
      </x:c>
      <x:c r="I28" s="20" t="str">
        <x:v>证明发货与运输节点</x:v>
      </x:c>
      <x:c r="J28" s="20" t="str">
        <x:v>可能降低可抗辩性或触发人工复核</x:v>
      </x:c>
      <x:c r="K28" s="20" t="str"/>
      <x:c r="L28" s="20" t="str">
        <x:v>仅记录类型与是否存在，不存原值</x:v>
      </x:c>
    </x:row>
    <x:row r="29" ht="66" customHeight="1">
      <x:c r="A29" s="20" t="str">
        <x:v>PUB-006</x:v>
      </x:c>
      <x:c r="B29" s="20" t="str">
        <x:v>fulfillment.proof_of_delivery</x:v>
      </x:c>
      <x:c r="C29" s="20" t="str">
        <x:v>签收证明</x:v>
      </x:c>
      <x:c r="D29" s="20" t="str">
        <x:v>YES</x:v>
      </x:c>
      <x:c r="E29" s="20" t="str">
        <x:v>NO_OR_NOT_DISCLOSED</x:v>
      </x:c>
      <x:c r="F29" s="20" t="str">
        <x:v>NOT_DISCLOSED</x:v>
      </x:c>
      <x:c r="G29" s="20" t="str">
        <x:v>UNKNOWN</x:v>
      </x:c>
      <x:c r="H29" s="20" t="str">
        <x:v>YES</x:v>
      </x:c>
      <x:c r="I29" s="20" t="str">
        <x:v>证明送达时间、地点或签收人</x:v>
      </x:c>
      <x:c r="J29" s="20" t="str">
        <x:v>可能降低可抗辩性或触发人工复核</x:v>
      </x:c>
      <x:c r="K29" s="20" t="str"/>
      <x:c r="L29" s="20" t="str">
        <x:v>仅记录类型与是否存在，不存原值</x:v>
      </x:c>
    </x:row>
    <x:row r="30" ht="66" customHeight="1">
      <x:c r="A30" s="20" t="str">
        <x:v>PUB-006</x:v>
      </x:c>
      <x:c r="B30" s="20" t="str">
        <x:v>fulfillment.address_match</x:v>
      </x:c>
      <x:c r="C30" s="20" t="str">
        <x:v>地址匹配</x:v>
      </x:c>
      <x:c r="D30" s="20" t="str">
        <x:v>YES</x:v>
      </x:c>
      <x:c r="E30" s="20" t="str">
        <x:v>NO_OR_NOT_DISCLOSED</x:v>
      </x:c>
      <x:c r="F30" s="20" t="str">
        <x:v>NOT_DISCLOSED</x:v>
      </x:c>
      <x:c r="G30" s="20" t="str">
        <x:v>UNKNOWN</x:v>
      </x:c>
      <x:c r="H30" s="20" t="str">
        <x:v>CONTEXTUAL</x:v>
      </x:c>
      <x:c r="I30" s="20" t="str">
        <x:v>核对订单与履约地址</x:v>
      </x:c>
      <x:c r="J30" s="20" t="str">
        <x:v>可能降低可抗辩性或触发人工复核</x:v>
      </x:c>
      <x:c r="K30" s="20" t="str"/>
      <x:c r="L30" s="20" t="str">
        <x:v>仅记录类型与是否存在，不存原值</x:v>
      </x:c>
    </x:row>
    <x:row r="31" ht="66" customHeight="1">
      <x:c r="A31" s="20" t="str">
        <x:v>PUB-006</x:v>
      </x:c>
      <x:c r="B31" s="20" t="str">
        <x:v>comms.customer</x:v>
      </x:c>
      <x:c r="C31" s="20" t="str">
        <x:v>客户沟通</x:v>
      </x:c>
      <x:c r="D31" s="20" t="str">
        <x:v>YES</x:v>
      </x:c>
      <x:c r="E31" s="20" t="str">
        <x:v>YES</x:v>
      </x:c>
      <x:c r="F31" s="20" t="str">
        <x:v>PUBLIC_DECISION_SUMMARY</x:v>
      </x:c>
      <x:c r="G31" s="20" t="str">
        <x:v>PUBLIC_SUMMARY</x:v>
      </x:c>
      <x:c r="H31" s="20" t="str">
        <x:v>CONTEXTUAL</x:v>
      </x:c>
      <x:c r="I31" s="20" t="str">
        <x:v>还原投诉、补救与时间线</x:v>
      </x:c>
      <x:c r="J31" s="20" t="str"/>
      <x:c r="K31" s="20" t="str"/>
      <x:c r="L31" s="20" t="str">
        <x:v>仅记录类型与是否存在，不存原值</x:v>
      </x:c>
    </x:row>
    <x:row r="32" ht="66" customHeight="1">
      <x:c r="A32" s="20" t="str">
        <x:v>PUB-007</x:v>
      </x:c>
      <x:c r="B32" s="20" t="str">
        <x:v>transaction.receipt</x:v>
      </x:c>
      <x:c r="C32" s="20" t="str">
        <x:v>交易收据</x:v>
      </x:c>
      <x:c r="D32" s="20" t="str">
        <x:v>YES</x:v>
      </x:c>
      <x:c r="E32" s="20" t="str">
        <x:v>YES</x:v>
      </x:c>
      <x:c r="F32" s="20" t="str">
        <x:v>PUBLIC_DECISION_SUMMARY</x:v>
      </x:c>
      <x:c r="G32" s="20" t="str">
        <x:v>PUBLIC_SUMMARY</x:v>
      </x:c>
      <x:c r="H32" s="20" t="str">
        <x:v>YES</x:v>
      </x:c>
      <x:c r="I32" s="20" t="str">
        <x:v>证明交易金额、时间和商户主体</x:v>
      </x:c>
      <x:c r="J32" s="20" t="str"/>
      <x:c r="K32" s="20" t="str"/>
      <x:c r="L32" s="20" t="str">
        <x:v>仅记录类型与是否存在，不存原值</x:v>
      </x:c>
    </x:row>
    <x:row r="33" ht="66" customHeight="1">
      <x:c r="A33" s="20" t="str">
        <x:v>PUB-007</x:v>
      </x:c>
      <x:c r="B33" s="20" t="str">
        <x:v>fulfillment.tracking</x:v>
      </x:c>
      <x:c r="C33" s="20" t="str">
        <x:v>物流轨迹</x:v>
      </x:c>
      <x:c r="D33" s="20" t="str">
        <x:v>YES</x:v>
      </x:c>
      <x:c r="E33" s="20" t="str">
        <x:v>NO_OR_NOT_DISCLOSED</x:v>
      </x:c>
      <x:c r="F33" s="20" t="str">
        <x:v>NOT_DISCLOSED</x:v>
      </x:c>
      <x:c r="G33" s="20" t="str">
        <x:v>UNKNOWN</x:v>
      </x:c>
      <x:c r="H33" s="20" t="str">
        <x:v>CONTEXTUAL</x:v>
      </x:c>
      <x:c r="I33" s="20" t="str">
        <x:v>证明发货与运输节点</x:v>
      </x:c>
      <x:c r="J33" s="20" t="str">
        <x:v>可能降低可抗辩性或触发人工复核</x:v>
      </x:c>
      <x:c r="K33" s="20" t="str"/>
      <x:c r="L33" s="20" t="str">
        <x:v>仅记录类型与是否存在，不存原值</x:v>
      </x:c>
    </x:row>
    <x:row r="34" ht="66" customHeight="1">
      <x:c r="A34" s="20" t="str">
        <x:v>PUB-007</x:v>
      </x:c>
      <x:c r="B34" s="20" t="str">
        <x:v>fulfillment.proof_of_delivery</x:v>
      </x:c>
      <x:c r="C34" s="20" t="str">
        <x:v>签收证明</x:v>
      </x:c>
      <x:c r="D34" s="20" t="str">
        <x:v>YES</x:v>
      </x:c>
      <x:c r="E34" s="20" t="str">
        <x:v>NO_OR_NOT_DISCLOSED</x:v>
      </x:c>
      <x:c r="F34" s="20" t="str">
        <x:v>NOT_DISCLOSED</x:v>
      </x:c>
      <x:c r="G34" s="20" t="str">
        <x:v>UNKNOWN</x:v>
      </x:c>
      <x:c r="H34" s="20" t="str">
        <x:v>YES</x:v>
      </x:c>
      <x:c r="I34" s="20" t="str">
        <x:v>证明送达时间、地点或签收人</x:v>
      </x:c>
      <x:c r="J34" s="20" t="str">
        <x:v>可能降低可抗辩性或触发人工复核</x:v>
      </x:c>
      <x:c r="K34" s="20" t="str"/>
      <x:c r="L34" s="20" t="str">
        <x:v>仅记录类型与是否存在，不存原值</x:v>
      </x:c>
    </x:row>
    <x:row r="35" ht="66" customHeight="1">
      <x:c r="A35" s="20" t="str">
        <x:v>PUB-007</x:v>
      </x:c>
      <x:c r="B35" s="20" t="str">
        <x:v>fulfillment.address_match</x:v>
      </x:c>
      <x:c r="C35" s="20" t="str">
        <x:v>地址匹配</x:v>
      </x:c>
      <x:c r="D35" s="20" t="str">
        <x:v>YES</x:v>
      </x:c>
      <x:c r="E35" s="20" t="str">
        <x:v>NO_OR_NOT_DISCLOSED</x:v>
      </x:c>
      <x:c r="F35" s="20" t="str">
        <x:v>NOT_DISCLOSED</x:v>
      </x:c>
      <x:c r="G35" s="20" t="str">
        <x:v>UNKNOWN</x:v>
      </x:c>
      <x:c r="H35" s="20" t="str">
        <x:v>CONTEXTUAL</x:v>
      </x:c>
      <x:c r="I35" s="20" t="str">
        <x:v>核对订单与履约地址</x:v>
      </x:c>
      <x:c r="J35" s="20" t="str">
        <x:v>可能降低可抗辩性或触发人工复核</x:v>
      </x:c>
      <x:c r="K35" s="20" t="str"/>
      <x:c r="L35" s="20" t="str">
        <x:v>仅记录类型与是否存在，不存原值</x:v>
      </x:c>
    </x:row>
    <x:row r="36" ht="66" customHeight="1">
      <x:c r="A36" s="20" t="str">
        <x:v>PUB-007</x:v>
      </x:c>
      <x:c r="B36" s="20" t="str">
        <x:v>comms.customer</x:v>
      </x:c>
      <x:c r="C36" s="20" t="str">
        <x:v>客户沟通</x:v>
      </x:c>
      <x:c r="D36" s="20" t="str">
        <x:v>YES</x:v>
      </x:c>
      <x:c r="E36" s="20" t="str">
        <x:v>YES</x:v>
      </x:c>
      <x:c r="F36" s="20" t="str">
        <x:v>PUBLIC_DECISION_SUMMARY</x:v>
      </x:c>
      <x:c r="G36" s="20" t="str">
        <x:v>PUBLIC_SUMMARY</x:v>
      </x:c>
      <x:c r="H36" s="20" t="str">
        <x:v>CONTEXTUAL</x:v>
      </x:c>
      <x:c r="I36" s="20" t="str">
        <x:v>还原投诉、补救与时间线</x:v>
      </x:c>
      <x:c r="J36" s="20" t="str"/>
      <x:c r="K36" s="20" t="str"/>
      <x:c r="L36" s="20" t="str">
        <x:v>仅记录类型与是否存在，不存原值</x:v>
      </x:c>
    </x:row>
    <x:row r="37" ht="66" customHeight="1">
      <x:c r="A37" s="20" t="str">
        <x:v>PUB-008</x:v>
      </x:c>
      <x:c r="B37" s="20" t="str">
        <x:v>transaction.receipt</x:v>
      </x:c>
      <x:c r="C37" s="20" t="str">
        <x:v>交易收据</x:v>
      </x:c>
      <x:c r="D37" s="20" t="str">
        <x:v>YES</x:v>
      </x:c>
      <x:c r="E37" s="20" t="str">
        <x:v>YES</x:v>
      </x:c>
      <x:c r="F37" s="20" t="str">
        <x:v>PUBLIC_DECISION_SUMMARY</x:v>
      </x:c>
      <x:c r="G37" s="20" t="str">
        <x:v>PUBLIC_SUMMARY</x:v>
      </x:c>
      <x:c r="H37" s="20" t="str">
        <x:v>YES</x:v>
      </x:c>
      <x:c r="I37" s="20" t="str">
        <x:v>证明交易金额、时间和商户主体</x:v>
      </x:c>
      <x:c r="J37" s="20" t="str"/>
      <x:c r="K37" s="20" t="str"/>
      <x:c r="L37" s="20" t="str">
        <x:v>仅记录类型与是否存在，不存原值</x:v>
      </x:c>
    </x:row>
    <x:row r="38" ht="66" customHeight="1">
      <x:c r="A38" s="20" t="str">
        <x:v>PUB-008</x:v>
      </x:c>
      <x:c r="B38" s="20" t="str">
        <x:v>fulfillment.tracking</x:v>
      </x:c>
      <x:c r="C38" s="20" t="str">
        <x:v>物流轨迹</x:v>
      </x:c>
      <x:c r="D38" s="20" t="str">
        <x:v>YES</x:v>
      </x:c>
      <x:c r="E38" s="20" t="str">
        <x:v>NO_OR_NOT_DISCLOSED</x:v>
      </x:c>
      <x:c r="F38" s="20" t="str">
        <x:v>NOT_DISCLOSED</x:v>
      </x:c>
      <x:c r="G38" s="20" t="str">
        <x:v>UNKNOWN</x:v>
      </x:c>
      <x:c r="H38" s="20" t="str">
        <x:v>CONTEXTUAL</x:v>
      </x:c>
      <x:c r="I38" s="20" t="str">
        <x:v>证明发货与运输节点</x:v>
      </x:c>
      <x:c r="J38" s="20" t="str">
        <x:v>可能降低可抗辩性或触发人工复核</x:v>
      </x:c>
      <x:c r="K38" s="20" t="str"/>
      <x:c r="L38" s="20" t="str">
        <x:v>仅记录类型与是否存在，不存原值</x:v>
      </x:c>
    </x:row>
    <x:row r="39" ht="66" customHeight="1">
      <x:c r="A39" s="20" t="str">
        <x:v>PUB-008</x:v>
      </x:c>
      <x:c r="B39" s="20" t="str">
        <x:v>fulfillment.proof_of_delivery</x:v>
      </x:c>
      <x:c r="C39" s="20" t="str">
        <x:v>签收证明</x:v>
      </x:c>
      <x:c r="D39" s="20" t="str">
        <x:v>YES</x:v>
      </x:c>
      <x:c r="E39" s="20" t="str">
        <x:v>NO_OR_NOT_DISCLOSED</x:v>
      </x:c>
      <x:c r="F39" s="20" t="str">
        <x:v>NOT_DISCLOSED</x:v>
      </x:c>
      <x:c r="G39" s="20" t="str">
        <x:v>UNKNOWN</x:v>
      </x:c>
      <x:c r="H39" s="20" t="str">
        <x:v>YES</x:v>
      </x:c>
      <x:c r="I39" s="20" t="str">
        <x:v>证明送达时间、地点或签收人</x:v>
      </x:c>
      <x:c r="J39" s="20" t="str">
        <x:v>可能降低可抗辩性或触发人工复核</x:v>
      </x:c>
      <x:c r="K39" s="20" t="str"/>
      <x:c r="L39" s="20" t="str">
        <x:v>仅记录类型与是否存在，不存原值</x:v>
      </x:c>
    </x:row>
    <x:row r="40" ht="66" customHeight="1">
      <x:c r="A40" s="20" t="str">
        <x:v>PUB-008</x:v>
      </x:c>
      <x:c r="B40" s="20" t="str">
        <x:v>fulfillment.address_match</x:v>
      </x:c>
      <x:c r="C40" s="20" t="str">
        <x:v>地址匹配</x:v>
      </x:c>
      <x:c r="D40" s="20" t="str">
        <x:v>YES</x:v>
      </x:c>
      <x:c r="E40" s="20" t="str">
        <x:v>NO_OR_NOT_DISCLOSED</x:v>
      </x:c>
      <x:c r="F40" s="20" t="str">
        <x:v>NOT_DISCLOSED</x:v>
      </x:c>
      <x:c r="G40" s="20" t="str">
        <x:v>UNKNOWN</x:v>
      </x:c>
      <x:c r="H40" s="20" t="str">
        <x:v>CONTEXTUAL</x:v>
      </x:c>
      <x:c r="I40" s="20" t="str">
        <x:v>核对订单与履约地址</x:v>
      </x:c>
      <x:c r="J40" s="20" t="str">
        <x:v>可能降低可抗辩性或触发人工复核</x:v>
      </x:c>
      <x:c r="K40" s="20" t="str"/>
      <x:c r="L40" s="20" t="str">
        <x:v>仅记录类型与是否存在，不存原值</x:v>
      </x:c>
    </x:row>
    <x:row r="41" ht="66" customHeight="1">
      <x:c r="A41" s="20" t="str">
        <x:v>PUB-008</x:v>
      </x:c>
      <x:c r="B41" s="20" t="str">
        <x:v>comms.customer</x:v>
      </x:c>
      <x:c r="C41" s="20" t="str">
        <x:v>客户沟通</x:v>
      </x:c>
      <x:c r="D41" s="20" t="str">
        <x:v>YES</x:v>
      </x:c>
      <x:c r="E41" s="20" t="str">
        <x:v>YES</x:v>
      </x:c>
      <x:c r="F41" s="20" t="str">
        <x:v>PUBLIC_DECISION_SUMMARY</x:v>
      </x:c>
      <x:c r="G41" s="20" t="str">
        <x:v>PUBLIC_SUMMARY</x:v>
      </x:c>
      <x:c r="H41" s="20" t="str">
        <x:v>CONTEXTUAL</x:v>
      </x:c>
      <x:c r="I41" s="20" t="str">
        <x:v>还原投诉、补救与时间线</x:v>
      </x:c>
      <x:c r="J41" s="20" t="str"/>
      <x:c r="K41" s="20" t="str"/>
      <x:c r="L41" s="20" t="str">
        <x:v>仅记录类型与是否存在，不存原值</x:v>
      </x:c>
    </x:row>
    <x:row r="42" ht="66" customHeight="1">
      <x:c r="A42" s="20" t="str">
        <x:v>PUB-009</x:v>
      </x:c>
      <x:c r="B42" s="20" t="str">
        <x:v>transaction.receipt</x:v>
      </x:c>
      <x:c r="C42" s="20" t="str">
        <x:v>交易收据</x:v>
      </x:c>
      <x:c r="D42" s="20" t="str">
        <x:v>YES</x:v>
      </x:c>
      <x:c r="E42" s="20" t="str">
        <x:v>YES</x:v>
      </x:c>
      <x:c r="F42" s="20" t="str">
        <x:v>PUBLIC_DECISION_SUMMARY</x:v>
      </x:c>
      <x:c r="G42" s="20" t="str">
        <x:v>PUBLIC_SUMMARY</x:v>
      </x:c>
      <x:c r="H42" s="20" t="str">
        <x:v>YES</x:v>
      </x:c>
      <x:c r="I42" s="20" t="str">
        <x:v>证明交易金额、时间和商户主体</x:v>
      </x:c>
      <x:c r="J42" s="20" t="str"/>
      <x:c r="K42" s="20" t="str"/>
      <x:c r="L42" s="20" t="str">
        <x:v>仅记录类型与是否存在，不存原值</x:v>
      </x:c>
    </x:row>
    <x:row r="43" ht="66" customHeight="1">
      <x:c r="A43" s="20" t="str">
        <x:v>PUB-009</x:v>
      </x:c>
      <x:c r="B43" s="20" t="str">
        <x:v>billing.refund_record</x:v>
      </x:c>
      <x:c r="C43" s="20" t="str">
        <x:v>退款记录</x:v>
      </x:c>
      <x:c r="D43" s="20" t="str">
        <x:v>YES</x:v>
      </x:c>
      <x:c r="E43" s="20" t="str">
        <x:v>YES</x:v>
      </x:c>
      <x:c r="F43" s="20" t="str">
        <x:v>PUBLIC_DECISION_SUMMARY</x:v>
      </x:c>
      <x:c r="G43" s="20" t="str">
        <x:v>PUBLIC_SUMMARY</x:v>
      </x:c>
      <x:c r="H43" s="20" t="str">
        <x:v>YES</x:v>
      </x:c>
      <x:c r="I43" s="20" t="str">
        <x:v>证明退款发起、金额、时间与状态</x:v>
      </x:c>
      <x:c r="J43" s="20" t="str"/>
      <x:c r="K43" s="20" t="str"/>
      <x:c r="L43" s="20" t="str">
        <x:v>仅记录类型与是否存在，不存原值</x:v>
      </x:c>
    </x:row>
    <x:row r="44" ht="66" customHeight="1">
      <x:c r="A44" s="20" t="str">
        <x:v>PUB-009</x:v>
      </x:c>
      <x:c r="B44" s="20" t="str">
        <x:v>policy.terms_refund</x:v>
      </x:c>
      <x:c r="C44" s="20" t="str">
        <x:v>条款与退款政策</x:v>
      </x:c>
      <x:c r="D44" s="20" t="str">
        <x:v>YES</x:v>
      </x:c>
      <x:c r="E44" s="20" t="str">
        <x:v>NO_OR_NOT_DISCLOSED</x:v>
      </x:c>
      <x:c r="F44" s="20" t="str">
        <x:v>NOT_DISCLOSED</x:v>
      </x:c>
      <x:c r="G44" s="20" t="str">
        <x:v>UNKNOWN</x:v>
      </x:c>
      <x:c r="H44" s="20" t="str">
        <x:v>CONTEXTUAL</x:v>
      </x:c>
      <x:c r="I44" s="20" t="str">
        <x:v>证明交易时披露并同意的规则</x:v>
      </x:c>
      <x:c r="J44" s="20" t="str">
        <x:v>可能降低可抗辩性或触发人工复核</x:v>
      </x:c>
      <x:c r="K44" s="20" t="str"/>
      <x:c r="L44" s="20" t="str">
        <x:v>仅记录类型与是否存在，不存原值</x:v>
      </x:c>
    </x:row>
    <x:row r="45" ht="66" customHeight="1">
      <x:c r="A45" s="20" t="str">
        <x:v>PUB-009</x:v>
      </x:c>
      <x:c r="B45" s="20" t="str">
        <x:v>comms.customer</x:v>
      </x:c>
      <x:c r="C45" s="20" t="str">
        <x:v>客户沟通</x:v>
      </x:c>
      <x:c r="D45" s="20" t="str">
        <x:v>YES</x:v>
      </x:c>
      <x:c r="E45" s="20" t="str">
        <x:v>YES</x:v>
      </x:c>
      <x:c r="F45" s="20" t="str">
        <x:v>PUBLIC_DECISION_SUMMARY</x:v>
      </x:c>
      <x:c r="G45" s="20" t="str">
        <x:v>PUBLIC_SUMMARY</x:v>
      </x:c>
      <x:c r="H45" s="20" t="str">
        <x:v>CONTEXTUAL</x:v>
      </x:c>
      <x:c r="I45" s="20" t="str">
        <x:v>还原投诉、补救与时间线</x:v>
      </x:c>
      <x:c r="J45" s="20" t="str"/>
      <x:c r="K45" s="20" t="str"/>
      <x:c r="L45" s="20" t="str">
        <x:v>仅记录类型与是否存在，不存原值</x:v>
      </x:c>
    </x:row>
    <x:row r="46" ht="66" customHeight="1">
      <x:c r="A46" s="20" t="str">
        <x:v>PUB-010</x:v>
      </x:c>
      <x:c r="B46" s="20" t="str">
        <x:v>transaction.receipt</x:v>
      </x:c>
      <x:c r="C46" s="20" t="str">
        <x:v>交易收据</x:v>
      </x:c>
      <x:c r="D46" s="20" t="str">
        <x:v>YES</x:v>
      </x:c>
      <x:c r="E46" s="20" t="str">
        <x:v>YES</x:v>
      </x:c>
      <x:c r="F46" s="20" t="str">
        <x:v>PUBLIC_DECISION_SUMMARY</x:v>
      </x:c>
      <x:c r="G46" s="20" t="str">
        <x:v>PUBLIC_SUMMARY</x:v>
      </x:c>
      <x:c r="H46" s="20" t="str">
        <x:v>YES</x:v>
      </x:c>
      <x:c r="I46" s="20" t="str">
        <x:v>证明交易金额、时间和商户主体</x:v>
      </x:c>
      <x:c r="J46" s="20" t="str"/>
      <x:c r="K46" s="20" t="str"/>
      <x:c r="L46" s="20" t="str">
        <x:v>仅记录类型与是否存在，不存原值</x:v>
      </x:c>
    </x:row>
    <x:row r="47" ht="66" customHeight="1">
      <x:c r="A47" s="20" t="str">
        <x:v>PUB-010</x:v>
      </x:c>
      <x:c r="B47" s="20" t="str">
        <x:v>fulfillment.tracking</x:v>
      </x:c>
      <x:c r="C47" s="20" t="str">
        <x:v>物流轨迹</x:v>
      </x:c>
      <x:c r="D47" s="20" t="str">
        <x:v>YES</x:v>
      </x:c>
      <x:c r="E47" s="20" t="str">
        <x:v>NO_OR_NOT_DISCLOSED</x:v>
      </x:c>
      <x:c r="F47" s="20" t="str">
        <x:v>NOT_DISCLOSED</x:v>
      </x:c>
      <x:c r="G47" s="20" t="str">
        <x:v>UNKNOWN</x:v>
      </x:c>
      <x:c r="H47" s="20" t="str">
        <x:v>CONTEXTUAL</x:v>
      </x:c>
      <x:c r="I47" s="20" t="str">
        <x:v>证明发货与运输节点</x:v>
      </x:c>
      <x:c r="J47" s="20" t="str">
        <x:v>可能降低可抗辩性或触发人工复核</x:v>
      </x:c>
      <x:c r="K47" s="20" t="str"/>
      <x:c r="L47" s="20" t="str">
        <x:v>仅记录类型与是否存在，不存原值</x:v>
      </x:c>
    </x:row>
    <x:row r="48" ht="66" customHeight="1">
      <x:c r="A48" s="20" t="str">
        <x:v>PUB-010</x:v>
      </x:c>
      <x:c r="B48" s="20" t="str">
        <x:v>fulfillment.proof_of_delivery</x:v>
      </x:c>
      <x:c r="C48" s="20" t="str">
        <x:v>签收证明</x:v>
      </x:c>
      <x:c r="D48" s="20" t="str">
        <x:v>YES</x:v>
      </x:c>
      <x:c r="E48" s="20" t="str">
        <x:v>NO_OR_NOT_DISCLOSED</x:v>
      </x:c>
      <x:c r="F48" s="20" t="str">
        <x:v>NOT_DISCLOSED</x:v>
      </x:c>
      <x:c r="G48" s="20" t="str">
        <x:v>UNKNOWN</x:v>
      </x:c>
      <x:c r="H48" s="20" t="str">
        <x:v>YES</x:v>
      </x:c>
      <x:c r="I48" s="20" t="str">
        <x:v>证明送达时间、地点或签收人</x:v>
      </x:c>
      <x:c r="J48" s="20" t="str">
        <x:v>可能降低可抗辩性或触发人工复核</x:v>
      </x:c>
      <x:c r="K48" s="20" t="str"/>
      <x:c r="L48" s="20" t="str">
        <x:v>仅记录类型与是否存在，不存原值</x:v>
      </x:c>
    </x:row>
    <x:row r="49" ht="66" customHeight="1">
      <x:c r="A49" s="20" t="str">
        <x:v>PUB-010</x:v>
      </x:c>
      <x:c r="B49" s="20" t="str">
        <x:v>fulfillment.address_match</x:v>
      </x:c>
      <x:c r="C49" s="20" t="str">
        <x:v>地址匹配</x:v>
      </x:c>
      <x:c r="D49" s="20" t="str">
        <x:v>YES</x:v>
      </x:c>
      <x:c r="E49" s="20" t="str">
        <x:v>NO_OR_NOT_DISCLOSED</x:v>
      </x:c>
      <x:c r="F49" s="20" t="str">
        <x:v>NOT_DISCLOSED</x:v>
      </x:c>
      <x:c r="G49" s="20" t="str">
        <x:v>UNKNOWN</x:v>
      </x:c>
      <x:c r="H49" s="20" t="str">
        <x:v>CONTEXTUAL</x:v>
      </x:c>
      <x:c r="I49" s="20" t="str">
        <x:v>核对订单与履约地址</x:v>
      </x:c>
      <x:c r="J49" s="20" t="str">
        <x:v>可能降低可抗辩性或触发人工复核</x:v>
      </x:c>
      <x:c r="K49" s="20" t="str"/>
      <x:c r="L49" s="20" t="str">
        <x:v>仅记录类型与是否存在，不存原值</x:v>
      </x:c>
    </x:row>
    <x:row r="50" ht="66" customHeight="1">
      <x:c r="A50" s="20" t="str">
        <x:v>PUB-010</x:v>
      </x:c>
      <x:c r="B50" s="20" t="str">
        <x:v>comms.customer</x:v>
      </x:c>
      <x:c r="C50" s="20" t="str">
        <x:v>客户沟通</x:v>
      </x:c>
      <x:c r="D50" s="20" t="str">
        <x:v>YES</x:v>
      </x:c>
      <x:c r="E50" s="20" t="str">
        <x:v>YES</x:v>
      </x:c>
      <x:c r="F50" s="20" t="str">
        <x:v>PUBLIC_DECISION_SUMMARY</x:v>
      </x:c>
      <x:c r="G50" s="20" t="str">
        <x:v>PUBLIC_SUMMARY</x:v>
      </x:c>
      <x:c r="H50" s="20" t="str">
        <x:v>CONTEXTUAL</x:v>
      </x:c>
      <x:c r="I50" s="20" t="str">
        <x:v>还原投诉、补救与时间线</x:v>
      </x:c>
      <x:c r="J50" s="20" t="str"/>
      <x:c r="K50" s="20" t="str"/>
      <x:c r="L50" s="20" t="str">
        <x:v>仅记录类型与是否存在，不存原值</x:v>
      </x:c>
    </x:row>
    <x:row r="51" ht="66" customHeight="1">
      <x:c r="A51" s="20" t="str">
        <x:v>PUB-011</x:v>
      </x:c>
      <x:c r="B51" s="20" t="str">
        <x:v>transaction.receipt</x:v>
      </x:c>
      <x:c r="C51" s="20" t="str">
        <x:v>交易收据</x:v>
      </x:c>
      <x:c r="D51" s="20" t="str">
        <x:v>YES</x:v>
      </x:c>
      <x:c r="E51" s="20" t="str">
        <x:v>YES</x:v>
      </x:c>
      <x:c r="F51" s="20" t="str">
        <x:v>PUBLIC_DECISION_SUMMARY</x:v>
      </x:c>
      <x:c r="G51" s="20" t="str">
        <x:v>PUBLIC_SUMMARY</x:v>
      </x:c>
      <x:c r="H51" s="20" t="str">
        <x:v>YES</x:v>
      </x:c>
      <x:c r="I51" s="20" t="str">
        <x:v>证明交易金额、时间和商户主体</x:v>
      </x:c>
      <x:c r="J51" s="20" t="str"/>
      <x:c r="K51" s="20" t="str"/>
      <x:c r="L51" s="20" t="str">
        <x:v>仅记录类型与是否存在，不存原值</x:v>
      </x:c>
    </x:row>
    <x:row r="52" ht="66" customHeight="1">
      <x:c r="A52" s="20" t="str">
        <x:v>PUB-011</x:v>
      </x:c>
      <x:c r="B52" s="20" t="str">
        <x:v>product.description</x:v>
      </x:c>
      <x:c r="C52" s="20" t="str">
        <x:v>商品描述</x:v>
      </x:c>
      <x:c r="D52" s="20" t="str">
        <x:v>YES</x:v>
      </x:c>
      <x:c r="E52" s="20" t="str">
        <x:v>YES</x:v>
      </x:c>
      <x:c r="F52" s="20" t="str">
        <x:v>PUBLIC_DECISION_SUMMARY</x:v>
      </x:c>
      <x:c r="G52" s="20" t="str">
        <x:v>PUBLIC_SUMMARY</x:v>
      </x:c>
      <x:c r="H52" s="20" t="str">
        <x:v>YES</x:v>
      </x:c>
      <x:c r="I52" s="20" t="str">
        <x:v>固定交易时展示的规格与承诺</x:v>
      </x:c>
      <x:c r="J52" s="20" t="str"/>
      <x:c r="K52" s="20" t="str"/>
      <x:c r="L52" s="20" t="str">
        <x:v>仅记录类型与是否存在，不存原值</x:v>
      </x:c>
    </x:row>
    <x:row r="53" ht="66" customHeight="1">
      <x:c r="A53" s="20" t="str">
        <x:v>PUB-011</x:v>
      </x:c>
      <x:c r="B53" s="20" t="str">
        <x:v>comms.customer</x:v>
      </x:c>
      <x:c r="C53" s="20" t="str">
        <x:v>客户沟通</x:v>
      </x:c>
      <x:c r="D53" s="20" t="str">
        <x:v>YES</x:v>
      </x:c>
      <x:c r="E53" s="20" t="str">
        <x:v>YES</x:v>
      </x:c>
      <x:c r="F53" s="20" t="str">
        <x:v>PUBLIC_DECISION_SUMMARY</x:v>
      </x:c>
      <x:c r="G53" s="20" t="str">
        <x:v>PUBLIC_SUMMARY</x:v>
      </x:c>
      <x:c r="H53" s="20" t="str">
        <x:v>CONTEXTUAL</x:v>
      </x:c>
      <x:c r="I53" s="20" t="str">
        <x:v>还原投诉、补救与时间线</x:v>
      </x:c>
      <x:c r="J53" s="20" t="str"/>
      <x:c r="K53" s="20" t="str"/>
      <x:c r="L53" s="20" t="str">
        <x:v>仅记录类型与是否存在，不存原值</x:v>
      </x:c>
    </x:row>
    <x:row r="54" ht="66" customHeight="1">
      <x:c r="A54" s="20" t="str">
        <x:v>PUB-011</x:v>
      </x:c>
      <x:c r="B54" s="20" t="str">
        <x:v>policy.terms_refund</x:v>
      </x:c>
      <x:c r="C54" s="20" t="str">
        <x:v>条款与退款政策</x:v>
      </x:c>
      <x:c r="D54" s="20" t="str">
        <x:v>YES</x:v>
      </x:c>
      <x:c r="E54" s="20" t="str">
        <x:v>NO_OR_NOT_DISCLOSED</x:v>
      </x:c>
      <x:c r="F54" s="20" t="str">
        <x:v>NOT_DISCLOSED</x:v>
      </x:c>
      <x:c r="G54" s="20" t="str">
        <x:v>UNKNOWN</x:v>
      </x:c>
      <x:c r="H54" s="20" t="str">
        <x:v>CONTEXTUAL</x:v>
      </x:c>
      <x:c r="I54" s="20" t="str">
        <x:v>证明交易时披露并同意的规则</x:v>
      </x:c>
      <x:c r="J54" s="20" t="str">
        <x:v>可能降低可抗辩性或触发人工复核</x:v>
      </x:c>
      <x:c r="K54" s="20" t="str"/>
      <x:c r="L54" s="20" t="str">
        <x:v>仅记录类型与是否存在，不存原值</x:v>
      </x:c>
    </x:row>
    <x:row r="55" ht="66" customHeight="1">
      <x:c r="A55" s="20" t="str">
        <x:v>PUB-011</x:v>
      </x:c>
      <x:c r="B55" s="20" t="str">
        <x:v>fulfillment.proof_of_delivery</x:v>
      </x:c>
      <x:c r="C55" s="20" t="str">
        <x:v>签收证明</x:v>
      </x:c>
      <x:c r="D55" s="20" t="str">
        <x:v>YES</x:v>
      </x:c>
      <x:c r="E55" s="20" t="str">
        <x:v>NO_OR_NOT_DISCLOSED</x:v>
      </x:c>
      <x:c r="F55" s="20" t="str">
        <x:v>NOT_DISCLOSED</x:v>
      </x:c>
      <x:c r="G55" s="20" t="str">
        <x:v>UNKNOWN</x:v>
      </x:c>
      <x:c r="H55" s="20" t="str">
        <x:v>YES</x:v>
      </x:c>
      <x:c r="I55" s="20" t="str">
        <x:v>证明送达时间、地点或签收人</x:v>
      </x:c>
      <x:c r="J55" s="20" t="str">
        <x:v>可能降低可抗辩性或触发人工复核</x:v>
      </x:c>
      <x:c r="K55" s="20" t="str"/>
      <x:c r="L55" s="20" t="str">
        <x:v>仅记录类型与是否存在，不存原值</x:v>
      </x:c>
    </x:row>
    <x:row r="56" ht="66" customHeight="1">
      <x:c r="A56" s="20" t="str">
        <x:v>PUB-012</x:v>
      </x:c>
      <x:c r="B56" s="20" t="str">
        <x:v>transaction.receipt</x:v>
      </x:c>
      <x:c r="C56" s="20" t="str">
        <x:v>交易收据</x:v>
      </x:c>
      <x:c r="D56" s="20" t="str">
        <x:v>YES</x:v>
      </x:c>
      <x:c r="E56" s="20" t="str">
        <x:v>YES</x:v>
      </x:c>
      <x:c r="F56" s="20" t="str">
        <x:v>PUBLIC_DECISION_SUMMARY</x:v>
      </x:c>
      <x:c r="G56" s="20" t="str">
        <x:v>PUBLIC_SUMMARY</x:v>
      </x:c>
      <x:c r="H56" s="20" t="str">
        <x:v>YES</x:v>
      </x:c>
      <x:c r="I56" s="20" t="str">
        <x:v>证明交易金额、时间和商户主体</x:v>
      </x:c>
      <x:c r="J56" s="20" t="str"/>
      <x:c r="K56" s="20" t="str"/>
      <x:c r="L56" s="20" t="str">
        <x:v>仅记录类型与是否存在，不存原值</x:v>
      </x:c>
    </x:row>
    <x:row r="57" ht="66" customHeight="1">
      <x:c r="A57" s="20" t="str">
        <x:v>PUB-012</x:v>
      </x:c>
      <x:c r="B57" s="20" t="str">
        <x:v>fulfillment.tracking</x:v>
      </x:c>
      <x:c r="C57" s="20" t="str">
        <x:v>物流轨迹</x:v>
      </x:c>
      <x:c r="D57" s="20" t="str">
        <x:v>YES</x:v>
      </x:c>
      <x:c r="E57" s="20" t="str">
        <x:v>NO_OR_NOT_DISCLOSED</x:v>
      </x:c>
      <x:c r="F57" s="20" t="str">
        <x:v>NOT_DISCLOSED</x:v>
      </x:c>
      <x:c r="G57" s="20" t="str">
        <x:v>UNKNOWN</x:v>
      </x:c>
      <x:c r="H57" s="20" t="str">
        <x:v>CONTEXTUAL</x:v>
      </x:c>
      <x:c r="I57" s="20" t="str">
        <x:v>证明发货与运输节点</x:v>
      </x:c>
      <x:c r="J57" s="20" t="str">
        <x:v>可能降低可抗辩性或触发人工复核</x:v>
      </x:c>
      <x:c r="K57" s="20" t="str"/>
      <x:c r="L57" s="20" t="str">
        <x:v>仅记录类型与是否存在，不存原值</x:v>
      </x:c>
    </x:row>
    <x:row r="58" ht="66" customHeight="1">
      <x:c r="A58" s="20" t="str">
        <x:v>PUB-012</x:v>
      </x:c>
      <x:c r="B58" s="20" t="str">
        <x:v>fulfillment.proof_of_delivery</x:v>
      </x:c>
      <x:c r="C58" s="20" t="str">
        <x:v>签收证明</x:v>
      </x:c>
      <x:c r="D58" s="20" t="str">
        <x:v>YES</x:v>
      </x:c>
      <x:c r="E58" s="20" t="str">
        <x:v>NO_OR_NOT_DISCLOSED</x:v>
      </x:c>
      <x:c r="F58" s="20" t="str">
        <x:v>NOT_DISCLOSED</x:v>
      </x:c>
      <x:c r="G58" s="20" t="str">
        <x:v>UNKNOWN</x:v>
      </x:c>
      <x:c r="H58" s="20" t="str">
        <x:v>YES</x:v>
      </x:c>
      <x:c r="I58" s="20" t="str">
        <x:v>证明送达时间、地点或签收人</x:v>
      </x:c>
      <x:c r="J58" s="20" t="str">
        <x:v>可能降低可抗辩性或触发人工复核</x:v>
      </x:c>
      <x:c r="K58" s="20" t="str"/>
      <x:c r="L58" s="20" t="str">
        <x:v>仅记录类型与是否存在，不存原值</x:v>
      </x:c>
    </x:row>
    <x:row r="59" ht="66" customHeight="1">
      <x:c r="A59" s="20" t="str">
        <x:v>PUB-012</x:v>
      </x:c>
      <x:c r="B59" s="20" t="str">
        <x:v>fulfillment.address_match</x:v>
      </x:c>
      <x:c r="C59" s="20" t="str">
        <x:v>地址匹配</x:v>
      </x:c>
      <x:c r="D59" s="20" t="str">
        <x:v>YES</x:v>
      </x:c>
      <x:c r="E59" s="20" t="str">
        <x:v>NO_OR_NOT_DISCLOSED</x:v>
      </x:c>
      <x:c r="F59" s="20" t="str">
        <x:v>NOT_DISCLOSED</x:v>
      </x:c>
      <x:c r="G59" s="20" t="str">
        <x:v>UNKNOWN</x:v>
      </x:c>
      <x:c r="H59" s="20" t="str">
        <x:v>CONTEXTUAL</x:v>
      </x:c>
      <x:c r="I59" s="20" t="str">
        <x:v>核对订单与履约地址</x:v>
      </x:c>
      <x:c r="J59" s="20" t="str">
        <x:v>可能降低可抗辩性或触发人工复核</x:v>
      </x:c>
      <x:c r="K59" s="20" t="str"/>
      <x:c r="L59" s="20" t="str">
        <x:v>仅记录类型与是否存在，不存原值</x:v>
      </x:c>
    </x:row>
    <x:row r="60" ht="66" customHeight="1">
      <x:c r="A60" s="20" t="str">
        <x:v>PUB-012</x:v>
      </x:c>
      <x:c r="B60" s="20" t="str">
        <x:v>comms.customer</x:v>
      </x:c>
      <x:c r="C60" s="20" t="str">
        <x:v>客户沟通</x:v>
      </x:c>
      <x:c r="D60" s="20" t="str">
        <x:v>YES</x:v>
      </x:c>
      <x:c r="E60" s="20" t="str">
        <x:v>YES</x:v>
      </x:c>
      <x:c r="F60" s="20" t="str">
        <x:v>PUBLIC_DECISION_SUMMARY</x:v>
      </x:c>
      <x:c r="G60" s="20" t="str">
        <x:v>PUBLIC_SUMMARY</x:v>
      </x:c>
      <x:c r="H60" s="20" t="str">
        <x:v>CONTEXTUAL</x:v>
      </x:c>
      <x:c r="I60" s="20" t="str">
        <x:v>还原投诉、补救与时间线</x:v>
      </x:c>
      <x:c r="J60" s="20" t="str"/>
      <x:c r="K60" s="20" t="str"/>
      <x:c r="L60" s="20" t="str">
        <x:v>仅记录类型与是否存在，不存原值</x:v>
      </x:c>
    </x:row>
    <x:row r="61" ht="66" customHeight="1">
      <x:c r="A61" s="20" t="str">
        <x:v>SYN-001</x:v>
      </x:c>
      <x:c r="B61" s="20" t="str">
        <x:v>transaction.receipt</x:v>
      </x:c>
      <x:c r="C61" s="20" t="str">
        <x:v>交易收据</x:v>
      </x:c>
      <x:c r="D61" s="20" t="str">
        <x:v>YES</x:v>
      </x:c>
      <x:c r="E61" s="20" t="str">
        <x:v>YES</x:v>
      </x:c>
      <x:c r="F61" s="20" t="str">
        <x:v>SYNTHETIC_MERCHANT_SYSTEM</x:v>
      </x:c>
      <x:c r="G61" s="20" t="str">
        <x:v>SIMULATED</x:v>
      </x:c>
      <x:c r="H61" s="20" t="str">
        <x:v>YES</x:v>
      </x:c>
      <x:c r="I61" s="20" t="str">
        <x:v>证明交易金额、时间和商户主体</x:v>
      </x:c>
      <x:c r="J61" s="20" t="str"/>
      <x:c r="K61" s="20" t="str"/>
      <x:c r="L61" s="20" t="str">
        <x:v>仅记录类型与是否存在，不存原值</x:v>
      </x:c>
    </x:row>
    <x:row r="62" ht="66" customHeight="1">
      <x:c r="A62" s="20" t="str">
        <x:v>SYN-001</x:v>
      </x:c>
      <x:c r="B62" s="20" t="str">
        <x:v>auth.threeds</x:v>
      </x:c>
      <x:c r="C62" s="20" t="str">
        <x:v>3DS认证</x:v>
      </x:c>
      <x:c r="D62" s="20" t="str">
        <x:v>YES</x:v>
      </x:c>
      <x:c r="E62" s="20" t="str">
        <x:v>YES</x:v>
      </x:c>
      <x:c r="F62" s="20" t="str">
        <x:v>SYNTHETIC_MERCHANT_SYSTEM</x:v>
      </x:c>
      <x:c r="G62" s="20" t="str">
        <x:v>SIMULATED</x:v>
      </x:c>
      <x:c r="H62" s="20" t="str">
        <x:v>YES</x:v>
      </x:c>
      <x:c r="I62" s="20" t="str">
        <x:v>核对强认证与责任转移</x:v>
      </x:c>
      <x:c r="J62" s="20" t="str"/>
      <x:c r="K62" s="20" t="str"/>
      <x:c r="L62" s="20" t="str">
        <x:v>仅记录类型与是否存在，不存原值</x:v>
      </x:c>
    </x:row>
    <x:row r="63" ht="66" customHeight="1">
      <x:c r="A63" s="20" t="str">
        <x:v>SYN-001</x:v>
      </x:c>
      <x:c r="B63" s="20" t="str">
        <x:v>auth.avs_result</x:v>
      </x:c>
      <x:c r="C63" s="20" t="str">
        <x:v>AVS结果</x:v>
      </x:c>
      <x:c r="D63" s="20" t="str">
        <x:v>YES</x:v>
      </x:c>
      <x:c r="E63" s="20" t="str">
        <x:v>NO_OR_NOT_DISCLOSED</x:v>
      </x:c>
      <x:c r="F63" s="20" t="str">
        <x:v>NOT_DISCLOSED</x:v>
      </x:c>
      <x:c r="G63" s="20" t="str">
        <x:v>UNKNOWN</x:v>
      </x:c>
      <x:c r="H63" s="20" t="str">
        <x:v>CONTEXTUAL</x:v>
      </x:c>
      <x:c r="I63" s="20" t="str">
        <x:v>核对账单地址验证结果</x:v>
      </x:c>
      <x:c r="J63" s="20" t="str">
        <x:v>可能降低可抗辩性或触发人工复核</x:v>
      </x:c>
      <x:c r="K63" s="20" t="str"/>
      <x:c r="L63" s="20" t="str">
        <x:v>仅记录类型与是否存在，不存原值</x:v>
      </x:c>
    </x:row>
    <x:row r="64" ht="66" customHeight="1">
      <x:c r="A64" s="20" t="str">
        <x:v>SYN-001</x:v>
      </x:c>
      <x:c r="B64" s="20" t="str">
        <x:v>auth.cvv_result</x:v>
      </x:c>
      <x:c r="C64" s="20" t="str">
        <x:v>CVV结果</x:v>
      </x:c>
      <x:c r="D64" s="20" t="str">
        <x:v>YES</x:v>
      </x:c>
      <x:c r="E64" s="20" t="str">
        <x:v>NO_OR_NOT_DISCLOSED</x:v>
      </x:c>
      <x:c r="F64" s="20" t="str">
        <x:v>NOT_DISCLOSED</x:v>
      </x:c>
      <x:c r="G64" s="20" t="str">
        <x:v>UNKNOWN</x:v>
      </x:c>
      <x:c r="H64" s="20" t="str">
        <x:v>CONTEXTUAL</x:v>
      </x:c>
      <x:c r="I64" s="20" t="str">
        <x:v>核对卡背码验证结果</x:v>
      </x:c>
      <x:c r="J64" s="20" t="str">
        <x:v>可能降低可抗辩性或触发人工复核</x:v>
      </x:c>
      <x:c r="K64" s="20" t="str"/>
      <x:c r="L64" s="20" t="str">
        <x:v>仅记录类型与是否存在，不存原值</x:v>
      </x:c>
    </x:row>
    <x:row r="65" ht="66" customHeight="1">
      <x:c r="A65" s="20" t="str">
        <x:v>SYN-001</x:v>
      </x:c>
      <x:c r="B65" s="20" t="str">
        <x:v>auth.device_ip_match</x:v>
      </x:c>
      <x:c r="C65" s="20" t="str">
        <x:v>设备/IP匹配</x:v>
      </x:c>
      <x:c r="D65" s="20" t="str">
        <x:v>YES</x:v>
      </x:c>
      <x:c r="E65" s="20" t="str">
        <x:v>YES</x:v>
      </x:c>
      <x:c r="F65" s="20" t="str">
        <x:v>SYNTHETIC_MERCHANT_SYSTEM</x:v>
      </x:c>
      <x:c r="G65" s="20" t="str">
        <x:v>SIMULATED</x:v>
      </x:c>
      <x:c r="H65" s="20" t="str">
        <x:v>CONTEXTUAL</x:v>
      </x:c>
      <x:c r="I65" s="20" t="str">
        <x:v>核对本次与历史行为一致性</x:v>
      </x:c>
      <x:c r="J65" s="20" t="str"/>
      <x:c r="K65" s="20" t="str"/>
      <x:c r="L65" s="20" t="str">
        <x:v>仅记录类型与是否存在，不存原值</x:v>
      </x:c>
    </x:row>
    <x:row r="66" ht="66" customHeight="1">
      <x:c r="A66" s="20" t="str">
        <x:v>SYN-001</x:v>
      </x:c>
      <x:c r="B66" s="20" t="str">
        <x:v>history.prior_transactions</x:v>
      </x:c>
      <x:c r="C66" s="20" t="str">
        <x:v>历史交易</x:v>
      </x:c>
      <x:c r="D66" s="20" t="str">
        <x:v>YES</x:v>
      </x:c>
      <x:c r="E66" s="20" t="str">
        <x:v>YES</x:v>
      </x:c>
      <x:c r="F66" s="20" t="str">
        <x:v>SYNTHETIC_MERCHANT_SYSTEM</x:v>
      </x:c>
      <x:c r="G66" s="20" t="str">
        <x:v>SIMULATED</x:v>
      </x:c>
      <x:c r="H66" s="20" t="str">
        <x:v>CONTEXTUAL</x:v>
      </x:c>
      <x:c r="I66" s="20" t="str">
        <x:v>显示既往正常交易关系</x:v>
      </x:c>
      <x:c r="J66" s="20" t="str"/>
      <x:c r="K66" s="20" t="str"/>
      <x:c r="L66" s="20" t="str">
        <x:v>仅记录类型与是否存在，不存原值</x:v>
      </x:c>
    </x:row>
    <x:row r="67" ht="66" customHeight="1">
      <x:c r="A67" s="20" t="str">
        <x:v>SYN-002</x:v>
      </x:c>
      <x:c r="B67" s="20" t="str">
        <x:v>transaction.receipt</x:v>
      </x:c>
      <x:c r="C67" s="20" t="str">
        <x:v>交易收据</x:v>
      </x:c>
      <x:c r="D67" s="20" t="str">
        <x:v>YES</x:v>
      </x:c>
      <x:c r="E67" s="20" t="str">
        <x:v>YES</x:v>
      </x:c>
      <x:c r="F67" s="20" t="str">
        <x:v>SYNTHETIC_MERCHANT_SYSTEM</x:v>
      </x:c>
      <x:c r="G67" s="20" t="str">
        <x:v>SIMULATED</x:v>
      </x:c>
      <x:c r="H67" s="20" t="str">
        <x:v>YES</x:v>
      </x:c>
      <x:c r="I67" s="20" t="str">
        <x:v>证明交易金额、时间和商户主体</x:v>
      </x:c>
      <x:c r="J67" s="20" t="str"/>
      <x:c r="K67" s="20" t="str"/>
      <x:c r="L67" s="20" t="str">
        <x:v>仅记录类型与是否存在，不存原值</x:v>
      </x:c>
    </x:row>
    <x:row r="68" ht="66" customHeight="1">
      <x:c r="A68" s="20" t="str">
        <x:v>SYN-002</x:v>
      </x:c>
      <x:c r="B68" s="20" t="str">
        <x:v>auth.threeds</x:v>
      </x:c>
      <x:c r="C68" s="20" t="str">
        <x:v>3DS认证</x:v>
      </x:c>
      <x:c r="D68" s="20" t="str">
        <x:v>YES</x:v>
      </x:c>
      <x:c r="E68" s="20" t="str">
        <x:v>NO_OR_NOT_DISCLOSED</x:v>
      </x:c>
      <x:c r="F68" s="20" t="str">
        <x:v>NOT_DISCLOSED</x:v>
      </x:c>
      <x:c r="G68" s="20" t="str">
        <x:v>UNKNOWN</x:v>
      </x:c>
      <x:c r="H68" s="20" t="str">
        <x:v>YES</x:v>
      </x:c>
      <x:c r="I68" s="20" t="str">
        <x:v>核对强认证与责任转移</x:v>
      </x:c>
      <x:c r="J68" s="20" t="str">
        <x:v>可能降低可抗辩性或触发人工复核</x:v>
      </x:c>
      <x:c r="K68" s="20" t="str"/>
      <x:c r="L68" s="20" t="str">
        <x:v>仅记录类型与是否存在，不存原值</x:v>
      </x:c>
    </x:row>
    <x:row r="69" ht="66" customHeight="1">
      <x:c r="A69" s="20" t="str">
        <x:v>SYN-002</x:v>
      </x:c>
      <x:c r="B69" s="20" t="str">
        <x:v>auth.avs_result</x:v>
      </x:c>
      <x:c r="C69" s="20" t="str">
        <x:v>AVS结果</x:v>
      </x:c>
      <x:c r="D69" s="20" t="str">
        <x:v>YES</x:v>
      </x:c>
      <x:c r="E69" s="20" t="str">
        <x:v>NO_OR_NOT_DISCLOSED</x:v>
      </x:c>
      <x:c r="F69" s="20" t="str">
        <x:v>NOT_DISCLOSED</x:v>
      </x:c>
      <x:c r="G69" s="20" t="str">
        <x:v>UNKNOWN</x:v>
      </x:c>
      <x:c r="H69" s="20" t="str">
        <x:v>CONTEXTUAL</x:v>
      </x:c>
      <x:c r="I69" s="20" t="str">
        <x:v>核对账单地址验证结果</x:v>
      </x:c>
      <x:c r="J69" s="20" t="str">
        <x:v>可能降低可抗辩性或触发人工复核</x:v>
      </x:c>
      <x:c r="K69" s="20" t="str"/>
      <x:c r="L69" s="20" t="str">
        <x:v>仅记录类型与是否存在，不存原值</x:v>
      </x:c>
    </x:row>
    <x:row r="70" ht="66" customHeight="1">
      <x:c r="A70" s="20" t="str">
        <x:v>SYN-002</x:v>
      </x:c>
      <x:c r="B70" s="20" t="str">
        <x:v>auth.cvv_result</x:v>
      </x:c>
      <x:c r="C70" s="20" t="str">
        <x:v>CVV结果</x:v>
      </x:c>
      <x:c r="D70" s="20" t="str">
        <x:v>YES</x:v>
      </x:c>
      <x:c r="E70" s="20" t="str">
        <x:v>NO_OR_NOT_DISCLOSED</x:v>
      </x:c>
      <x:c r="F70" s="20" t="str">
        <x:v>NOT_DISCLOSED</x:v>
      </x:c>
      <x:c r="G70" s="20" t="str">
        <x:v>UNKNOWN</x:v>
      </x:c>
      <x:c r="H70" s="20" t="str">
        <x:v>CONTEXTUAL</x:v>
      </x:c>
      <x:c r="I70" s="20" t="str">
        <x:v>核对卡背码验证结果</x:v>
      </x:c>
      <x:c r="J70" s="20" t="str">
        <x:v>可能降低可抗辩性或触发人工复核</x:v>
      </x:c>
      <x:c r="K70" s="20" t="str"/>
      <x:c r="L70" s="20" t="str">
        <x:v>仅记录类型与是否存在，不存原值</x:v>
      </x:c>
    </x:row>
    <x:row r="71" ht="66" customHeight="1">
      <x:c r="A71" s="20" t="str">
        <x:v>SYN-002</x:v>
      </x:c>
      <x:c r="B71" s="20" t="str">
        <x:v>auth.device_ip_match</x:v>
      </x:c>
      <x:c r="C71" s="20" t="str">
        <x:v>设备/IP匹配</x:v>
      </x:c>
      <x:c r="D71" s="20" t="str">
        <x:v>YES</x:v>
      </x:c>
      <x:c r="E71" s="20" t="str">
        <x:v>YES</x:v>
      </x:c>
      <x:c r="F71" s="20" t="str">
        <x:v>SYNTHETIC_MERCHANT_SYSTEM</x:v>
      </x:c>
      <x:c r="G71" s="20" t="str">
        <x:v>SIMULATED</x:v>
      </x:c>
      <x:c r="H71" s="20" t="str">
        <x:v>CONTEXTUAL</x:v>
      </x:c>
      <x:c r="I71" s="20" t="str">
        <x:v>核对本次与历史行为一致性</x:v>
      </x:c>
      <x:c r="J71" s="20" t="str"/>
      <x:c r="K71" s="20" t="str"/>
      <x:c r="L71" s="20" t="str">
        <x:v>仅记录类型与是否存在，不存原值</x:v>
      </x:c>
    </x:row>
    <x:row r="72" ht="66" customHeight="1">
      <x:c r="A72" s="20" t="str">
        <x:v>SYN-002</x:v>
      </x:c>
      <x:c r="B72" s="20" t="str">
        <x:v>history.prior_transactions</x:v>
      </x:c>
      <x:c r="C72" s="20" t="str">
        <x:v>历史交易</x:v>
      </x:c>
      <x:c r="D72" s="20" t="str">
        <x:v>YES</x:v>
      </x:c>
      <x:c r="E72" s="20" t="str">
        <x:v>YES</x:v>
      </x:c>
      <x:c r="F72" s="20" t="str">
        <x:v>SYNTHETIC_MERCHANT_SYSTEM</x:v>
      </x:c>
      <x:c r="G72" s="20" t="str">
        <x:v>SIMULATED</x:v>
      </x:c>
      <x:c r="H72" s="20" t="str">
        <x:v>CONTEXTUAL</x:v>
      </x:c>
      <x:c r="I72" s="20" t="str">
        <x:v>显示既往正常交易关系</x:v>
      </x:c>
      <x:c r="J72" s="20" t="str"/>
      <x:c r="K72" s="20" t="str"/>
      <x:c r="L72" s="20" t="str">
        <x:v>仅记录类型与是否存在，不存原值</x:v>
      </x:c>
    </x:row>
    <x:row r="73" ht="66" customHeight="1">
      <x:c r="A73" s="20" t="str">
        <x:v>SYN-003</x:v>
      </x:c>
      <x:c r="B73" s="20" t="str">
        <x:v>transaction.receipt</x:v>
      </x:c>
      <x:c r="C73" s="20" t="str">
        <x:v>交易收据</x:v>
      </x:c>
      <x:c r="D73" s="20" t="str">
        <x:v>YES</x:v>
      </x:c>
      <x:c r="E73" s="20" t="str">
        <x:v>YES</x:v>
      </x:c>
      <x:c r="F73" s="20" t="str">
        <x:v>SYNTHETIC_MERCHANT_SYSTEM</x:v>
      </x:c>
      <x:c r="G73" s="20" t="str">
        <x:v>SIMULATED</x:v>
      </x:c>
      <x:c r="H73" s="20" t="str">
        <x:v>YES</x:v>
      </x:c>
      <x:c r="I73" s="20" t="str">
        <x:v>证明交易金额、时间和商户主体</x:v>
      </x:c>
      <x:c r="J73" s="20" t="str"/>
      <x:c r="K73" s="20" t="str">
        <x:v>与其他风险信号冲突</x:v>
      </x:c>
      <x:c r="L73" s="20" t="str">
        <x:v>仅记录类型与是否存在，不存原值</x:v>
      </x:c>
    </x:row>
    <x:row r="74" ht="66" customHeight="1">
      <x:c r="A74" s="20" t="str">
        <x:v>SYN-003</x:v>
      </x:c>
      <x:c r="B74" s="20" t="str">
        <x:v>auth.threeds</x:v>
      </x:c>
      <x:c r="C74" s="20" t="str">
        <x:v>3DS认证</x:v>
      </x:c>
      <x:c r="D74" s="20" t="str">
        <x:v>YES</x:v>
      </x:c>
      <x:c r="E74" s="20" t="str">
        <x:v>YES</x:v>
      </x:c>
      <x:c r="F74" s="20" t="str">
        <x:v>SYNTHETIC_MERCHANT_SYSTEM</x:v>
      </x:c>
      <x:c r="G74" s="20" t="str">
        <x:v>SIMULATED</x:v>
      </x:c>
      <x:c r="H74" s="20" t="str">
        <x:v>YES</x:v>
      </x:c>
      <x:c r="I74" s="20" t="str">
        <x:v>核对强认证与责任转移</x:v>
      </x:c>
      <x:c r="J74" s="20" t="str"/>
      <x:c r="K74" s="20" t="str">
        <x:v>与其他风险信号冲突</x:v>
      </x:c>
      <x:c r="L74" s="20" t="str">
        <x:v>仅记录类型与是否存在，不存原值</x:v>
      </x:c>
    </x:row>
    <x:row r="75" ht="66" customHeight="1">
      <x:c r="A75" s="20" t="str">
        <x:v>SYN-003</x:v>
      </x:c>
      <x:c r="B75" s="20" t="str">
        <x:v>auth.avs_result</x:v>
      </x:c>
      <x:c r="C75" s="20" t="str">
        <x:v>AVS结果</x:v>
      </x:c>
      <x:c r="D75" s="20" t="str">
        <x:v>YES</x:v>
      </x:c>
      <x:c r="E75" s="20" t="str">
        <x:v>YES</x:v>
      </x:c>
      <x:c r="F75" s="20" t="str">
        <x:v>SYNTHETIC_MERCHANT_SYSTEM</x:v>
      </x:c>
      <x:c r="G75" s="20" t="str">
        <x:v>SIMULATED</x:v>
      </x:c>
      <x:c r="H75" s="20" t="str">
        <x:v>CONTEXTUAL</x:v>
      </x:c>
      <x:c r="I75" s="20" t="str">
        <x:v>核对账单地址验证结果</x:v>
      </x:c>
      <x:c r="J75" s="20" t="str"/>
      <x:c r="K75" s="20" t="str">
        <x:v>与其他风险信号冲突</x:v>
      </x:c>
      <x:c r="L75" s="20" t="str">
        <x:v>仅记录类型与是否存在，不存原值</x:v>
      </x:c>
    </x:row>
    <x:row r="76" ht="66" customHeight="1">
      <x:c r="A76" s="20" t="str">
        <x:v>SYN-003</x:v>
      </x:c>
      <x:c r="B76" s="20" t="str">
        <x:v>auth.cvv_result</x:v>
      </x:c>
      <x:c r="C76" s="20" t="str">
        <x:v>CVV结果</x:v>
      </x:c>
      <x:c r="D76" s="20" t="str">
        <x:v>YES</x:v>
      </x:c>
      <x:c r="E76" s="20" t="str">
        <x:v>YES</x:v>
      </x:c>
      <x:c r="F76" s="20" t="str">
        <x:v>SYNTHETIC_MERCHANT_SYSTEM</x:v>
      </x:c>
      <x:c r="G76" s="20" t="str">
        <x:v>SIMULATED</x:v>
      </x:c>
      <x:c r="H76" s="20" t="str">
        <x:v>CONTEXTUAL</x:v>
      </x:c>
      <x:c r="I76" s="20" t="str">
        <x:v>核对卡背码验证结果</x:v>
      </x:c>
      <x:c r="J76" s="20" t="str"/>
      <x:c r="K76" s="20" t="str">
        <x:v>与其他风险信号冲突</x:v>
      </x:c>
      <x:c r="L76" s="20" t="str">
        <x:v>仅记录类型与是否存在，不存原值</x:v>
      </x:c>
    </x:row>
    <x:row r="77" ht="66" customHeight="1">
      <x:c r="A77" s="20" t="str">
        <x:v>SYN-003</x:v>
      </x:c>
      <x:c r="B77" s="20" t="str">
        <x:v>auth.device_ip_match</x:v>
      </x:c>
      <x:c r="C77" s="20" t="str">
        <x:v>设备/IP匹配</x:v>
      </x:c>
      <x:c r="D77" s="20" t="str">
        <x:v>YES</x:v>
      </x:c>
      <x:c r="E77" s="20" t="str">
        <x:v>NO_OR_NOT_DISCLOSED</x:v>
      </x:c>
      <x:c r="F77" s="20" t="str">
        <x:v>NOT_DISCLOSED</x:v>
      </x:c>
      <x:c r="G77" s="20" t="str">
        <x:v>UNKNOWN</x:v>
      </x:c>
      <x:c r="H77" s="20" t="str">
        <x:v>CONTEXTUAL</x:v>
      </x:c>
      <x:c r="I77" s="20" t="str">
        <x:v>核对本次与历史行为一致性</x:v>
      </x:c>
      <x:c r="J77" s="20" t="str">
        <x:v>可能降低可抗辩性或触发人工复核</x:v>
      </x:c>
      <x:c r="K77" s="20" t="str">
        <x:v>与其他风险信号冲突</x:v>
      </x:c>
      <x:c r="L77" s="20" t="str">
        <x:v>仅记录类型与是否存在，不存原值</x:v>
      </x:c>
    </x:row>
    <x:row r="78" ht="66" customHeight="1">
      <x:c r="A78" s="20" t="str">
        <x:v>SYN-003</x:v>
      </x:c>
      <x:c r="B78" s="20" t="str">
        <x:v>history.prior_transactions</x:v>
      </x:c>
      <x:c r="C78" s="20" t="str">
        <x:v>历史交易</x:v>
      </x:c>
      <x:c r="D78" s="20" t="str">
        <x:v>YES</x:v>
      </x:c>
      <x:c r="E78" s="20" t="str">
        <x:v>NO_OR_NOT_DISCLOSED</x:v>
      </x:c>
      <x:c r="F78" s="20" t="str">
        <x:v>NOT_DISCLOSED</x:v>
      </x:c>
      <x:c r="G78" s="20" t="str">
        <x:v>UNKNOWN</x:v>
      </x:c>
      <x:c r="H78" s="20" t="str">
        <x:v>CONTEXTUAL</x:v>
      </x:c>
      <x:c r="I78" s="20" t="str">
        <x:v>显示既往正常交易关系</x:v>
      </x:c>
      <x:c r="J78" s="20" t="str">
        <x:v>可能降低可抗辩性或触发人工复核</x:v>
      </x:c>
      <x:c r="K78" s="20" t="str">
        <x:v>与其他风险信号冲突</x:v>
      </x:c>
      <x:c r="L78" s="20" t="str">
        <x:v>仅记录类型与是否存在，不存原值</x:v>
      </x:c>
    </x:row>
    <x:row r="79" ht="66" customHeight="1">
      <x:c r="A79" s="20" t="str">
        <x:v>SYN-004</x:v>
      </x:c>
      <x:c r="B79" s="20" t="str">
        <x:v>transaction.receipt</x:v>
      </x:c>
      <x:c r="C79" s="20" t="str">
        <x:v>交易收据</x:v>
      </x:c>
      <x:c r="D79" s="20" t="str">
        <x:v>YES</x:v>
      </x:c>
      <x:c r="E79" s="20" t="str">
        <x:v>YES</x:v>
      </x:c>
      <x:c r="F79" s="20" t="str">
        <x:v>SYNTHETIC_MERCHANT_SYSTEM</x:v>
      </x:c>
      <x:c r="G79" s="20" t="str">
        <x:v>SIMULATED</x:v>
      </x:c>
      <x:c r="H79" s="20" t="str">
        <x:v>YES</x:v>
      </x:c>
      <x:c r="I79" s="20" t="str">
        <x:v>证明交易金额、时间和商户主体</x:v>
      </x:c>
      <x:c r="J79" s="20" t="str"/>
      <x:c r="K79" s="20" t="str"/>
      <x:c r="L79" s="20" t="str">
        <x:v>仅记录类型与是否存在，不存原值</x:v>
      </x:c>
    </x:row>
    <x:row r="80" ht="66" customHeight="1">
      <x:c r="A80" s="20" t="str">
        <x:v>SYN-004</x:v>
      </x:c>
      <x:c r="B80" s="20" t="str">
        <x:v>auth.threeds</x:v>
      </x:c>
      <x:c r="C80" s="20" t="str">
        <x:v>3DS认证</x:v>
      </x:c>
      <x:c r="D80" s="20" t="str">
        <x:v>YES</x:v>
      </x:c>
      <x:c r="E80" s="20" t="str">
        <x:v>NO_OR_NOT_DISCLOSED</x:v>
      </x:c>
      <x:c r="F80" s="20" t="str">
        <x:v>NOT_DISCLOSED</x:v>
      </x:c>
      <x:c r="G80" s="20" t="str">
        <x:v>UNKNOWN</x:v>
      </x:c>
      <x:c r="H80" s="20" t="str">
        <x:v>YES</x:v>
      </x:c>
      <x:c r="I80" s="20" t="str">
        <x:v>核对强认证与责任转移</x:v>
      </x:c>
      <x:c r="J80" s="20" t="str">
        <x:v>可能降低可抗辩性或触发人工复核</x:v>
      </x:c>
      <x:c r="K80" s="20" t="str"/>
      <x:c r="L80" s="20" t="str">
        <x:v>仅记录类型与是否存在，不存原值</x:v>
      </x:c>
    </x:row>
    <x:row r="81" ht="66" customHeight="1">
      <x:c r="A81" s="20" t="str">
        <x:v>SYN-004</x:v>
      </x:c>
      <x:c r="B81" s="20" t="str">
        <x:v>auth.avs_result</x:v>
      </x:c>
      <x:c r="C81" s="20" t="str">
        <x:v>AVS结果</x:v>
      </x:c>
      <x:c r="D81" s="20" t="str">
        <x:v>YES</x:v>
      </x:c>
      <x:c r="E81" s="20" t="str">
        <x:v>NO_OR_NOT_DISCLOSED</x:v>
      </x:c>
      <x:c r="F81" s="20" t="str">
        <x:v>NOT_DISCLOSED</x:v>
      </x:c>
      <x:c r="G81" s="20" t="str">
        <x:v>UNKNOWN</x:v>
      </x:c>
      <x:c r="H81" s="20" t="str">
        <x:v>CONTEXTUAL</x:v>
      </x:c>
      <x:c r="I81" s="20" t="str">
        <x:v>核对账单地址验证结果</x:v>
      </x:c>
      <x:c r="J81" s="20" t="str">
        <x:v>可能降低可抗辩性或触发人工复核</x:v>
      </x:c>
      <x:c r="K81" s="20" t="str"/>
      <x:c r="L81" s="20" t="str">
        <x:v>仅记录类型与是否存在，不存原值</x:v>
      </x:c>
    </x:row>
    <x:row r="82" ht="66" customHeight="1">
      <x:c r="A82" s="20" t="str">
        <x:v>SYN-004</x:v>
      </x:c>
      <x:c r="B82" s="20" t="str">
        <x:v>auth.cvv_result</x:v>
      </x:c>
      <x:c r="C82" s="20" t="str">
        <x:v>CVV结果</x:v>
      </x:c>
      <x:c r="D82" s="20" t="str">
        <x:v>YES</x:v>
      </x:c>
      <x:c r="E82" s="20" t="str">
        <x:v>NO_OR_NOT_DISCLOSED</x:v>
      </x:c>
      <x:c r="F82" s="20" t="str">
        <x:v>NOT_DISCLOSED</x:v>
      </x:c>
      <x:c r="G82" s="20" t="str">
        <x:v>UNKNOWN</x:v>
      </x:c>
      <x:c r="H82" s="20" t="str">
        <x:v>CONTEXTUAL</x:v>
      </x:c>
      <x:c r="I82" s="20" t="str">
        <x:v>核对卡背码验证结果</x:v>
      </x:c>
      <x:c r="J82" s="20" t="str">
        <x:v>可能降低可抗辩性或触发人工复核</x:v>
      </x:c>
      <x:c r="K82" s="20" t="str"/>
      <x:c r="L82" s="20" t="str">
        <x:v>仅记录类型与是否存在，不存原值</x:v>
      </x:c>
    </x:row>
    <x:row r="83" ht="66" customHeight="1">
      <x:c r="A83" s="20" t="str">
        <x:v>SYN-004</x:v>
      </x:c>
      <x:c r="B83" s="20" t="str">
        <x:v>auth.device_ip_match</x:v>
      </x:c>
      <x:c r="C83" s="20" t="str">
        <x:v>设备/IP匹配</x:v>
      </x:c>
      <x:c r="D83" s="20" t="str">
        <x:v>YES</x:v>
      </x:c>
      <x:c r="E83" s="20" t="str">
        <x:v>YES</x:v>
      </x:c>
      <x:c r="F83" s="20" t="str">
        <x:v>SYNTHETIC_MERCHANT_SYSTEM</x:v>
      </x:c>
      <x:c r="G83" s="20" t="str">
        <x:v>SIMULATED</x:v>
      </x:c>
      <x:c r="H83" s="20" t="str">
        <x:v>CONTEXTUAL</x:v>
      </x:c>
      <x:c r="I83" s="20" t="str">
        <x:v>核对本次与历史行为一致性</x:v>
      </x:c>
      <x:c r="J83" s="20" t="str"/>
      <x:c r="K83" s="20" t="str"/>
      <x:c r="L83" s="20" t="str">
        <x:v>仅记录类型与是否存在，不存原值</x:v>
      </x:c>
    </x:row>
    <x:row r="84" ht="66" customHeight="1">
      <x:c r="A84" s="20" t="str">
        <x:v>SYN-004</x:v>
      </x:c>
      <x:c r="B84" s="20" t="str">
        <x:v>history.prior_transactions</x:v>
      </x:c>
      <x:c r="C84" s="20" t="str">
        <x:v>历史交易</x:v>
      </x:c>
      <x:c r="D84" s="20" t="str">
        <x:v>YES</x:v>
      </x:c>
      <x:c r="E84" s="20" t="str">
        <x:v>YES</x:v>
      </x:c>
      <x:c r="F84" s="20" t="str">
        <x:v>SYNTHETIC_MERCHANT_SYSTEM</x:v>
      </x:c>
      <x:c r="G84" s="20" t="str">
        <x:v>SIMULATED</x:v>
      </x:c>
      <x:c r="H84" s="20" t="str">
        <x:v>CONTEXTUAL</x:v>
      </x:c>
      <x:c r="I84" s="20" t="str">
        <x:v>显示既往正常交易关系</x:v>
      </x:c>
      <x:c r="J84" s="20" t="str"/>
      <x:c r="K84" s="20" t="str"/>
      <x:c r="L84" s="20" t="str">
        <x:v>仅记录类型与是否存在，不存原值</x:v>
      </x:c>
    </x:row>
    <x:row r="85" ht="66" customHeight="1">
      <x:c r="A85" s="20" t="str">
        <x:v>SYN-005</x:v>
      </x:c>
      <x:c r="B85" s="20" t="str">
        <x:v>transaction.receipt</x:v>
      </x:c>
      <x:c r="C85" s="20" t="str">
        <x:v>交易收据</x:v>
      </x:c>
      <x:c r="D85" s="20" t="str">
        <x:v>YES</x:v>
      </x:c>
      <x:c r="E85" s="20" t="str">
        <x:v>YES</x:v>
      </x:c>
      <x:c r="F85" s="20" t="str">
        <x:v>SYNTHETIC_MERCHANT_SYSTEM</x:v>
      </x:c>
      <x:c r="G85" s="20" t="str">
        <x:v>SIMULATED</x:v>
      </x:c>
      <x:c r="H85" s="20" t="str">
        <x:v>YES</x:v>
      </x:c>
      <x:c r="I85" s="20" t="str">
        <x:v>证明交易金额、时间和商户主体</x:v>
      </x:c>
      <x:c r="J85" s="20" t="str"/>
      <x:c r="K85" s="20" t="str"/>
      <x:c r="L85" s="20" t="str">
        <x:v>仅记录类型与是否存在，不存原值</x:v>
      </x:c>
    </x:row>
    <x:row r="86" ht="66" customHeight="1">
      <x:c r="A86" s="20" t="str">
        <x:v>SYN-005</x:v>
      </x:c>
      <x:c r="B86" s="20" t="str">
        <x:v>fulfillment.tracking</x:v>
      </x:c>
      <x:c r="C86" s="20" t="str">
        <x:v>物流轨迹</x:v>
      </x:c>
      <x:c r="D86" s="20" t="str">
        <x:v>YES</x:v>
      </x:c>
      <x:c r="E86" s="20" t="str">
        <x:v>YES</x:v>
      </x:c>
      <x:c r="F86" s="20" t="str">
        <x:v>SYNTHETIC_MERCHANT_SYSTEM</x:v>
      </x:c>
      <x:c r="G86" s="20" t="str">
        <x:v>SIMULATED</x:v>
      </x:c>
      <x:c r="H86" s="20" t="str">
        <x:v>CONTEXTUAL</x:v>
      </x:c>
      <x:c r="I86" s="20" t="str">
        <x:v>证明发货与运输节点</x:v>
      </x:c>
      <x:c r="J86" s="20" t="str"/>
      <x:c r="K86" s="20" t="str"/>
      <x:c r="L86" s="20" t="str">
        <x:v>仅记录类型与是否存在，不存原值</x:v>
      </x:c>
    </x:row>
    <x:row r="87" ht="66" customHeight="1">
      <x:c r="A87" s="20" t="str">
        <x:v>SYN-005</x:v>
      </x:c>
      <x:c r="B87" s="20" t="str">
        <x:v>fulfillment.proof_of_delivery</x:v>
      </x:c>
      <x:c r="C87" s="20" t="str">
        <x:v>签收证明</x:v>
      </x:c>
      <x:c r="D87" s="20" t="str">
        <x:v>YES</x:v>
      </x:c>
      <x:c r="E87" s="20" t="str">
        <x:v>YES</x:v>
      </x:c>
      <x:c r="F87" s="20" t="str">
        <x:v>SYNTHETIC_MERCHANT_SYSTEM</x:v>
      </x:c>
      <x:c r="G87" s="20" t="str">
        <x:v>SIMULATED</x:v>
      </x:c>
      <x:c r="H87" s="20" t="str">
        <x:v>YES</x:v>
      </x:c>
      <x:c r="I87" s="20" t="str">
        <x:v>证明送达时间、地点或签收人</x:v>
      </x:c>
      <x:c r="J87" s="20" t="str"/>
      <x:c r="K87" s="20" t="str"/>
      <x:c r="L87" s="20" t="str">
        <x:v>仅记录类型与是否存在，不存原值</x:v>
      </x:c>
    </x:row>
    <x:row r="88" ht="66" customHeight="1">
      <x:c r="A88" s="20" t="str">
        <x:v>SYN-005</x:v>
      </x:c>
      <x:c r="B88" s="20" t="str">
        <x:v>fulfillment.address_match</x:v>
      </x:c>
      <x:c r="C88" s="20" t="str">
        <x:v>地址匹配</x:v>
      </x:c>
      <x:c r="D88" s="20" t="str">
        <x:v>YES</x:v>
      </x:c>
      <x:c r="E88" s="20" t="str">
        <x:v>YES</x:v>
      </x:c>
      <x:c r="F88" s="20" t="str">
        <x:v>SYNTHETIC_MERCHANT_SYSTEM</x:v>
      </x:c>
      <x:c r="G88" s="20" t="str">
        <x:v>SIMULATED</x:v>
      </x:c>
      <x:c r="H88" s="20" t="str">
        <x:v>CONTEXTUAL</x:v>
      </x:c>
      <x:c r="I88" s="20" t="str">
        <x:v>核对订单与履约地址</x:v>
      </x:c>
      <x:c r="J88" s="20" t="str"/>
      <x:c r="K88" s="20" t="str"/>
      <x:c r="L88" s="20" t="str">
        <x:v>仅记录类型与是否存在，不存原值</x:v>
      </x:c>
    </x:row>
    <x:row r="89" ht="66" customHeight="1">
      <x:c r="A89" s="20" t="str">
        <x:v>SYN-005</x:v>
      </x:c>
      <x:c r="B89" s="20" t="str">
        <x:v>comms.customer</x:v>
      </x:c>
      <x:c r="C89" s="20" t="str">
        <x:v>客户沟通</x:v>
      </x:c>
      <x:c r="D89" s="20" t="str">
        <x:v>YES</x:v>
      </x:c>
      <x:c r="E89" s="20" t="str">
        <x:v>NO_OR_NOT_DISCLOSED</x:v>
      </x:c>
      <x:c r="F89" s="20" t="str">
        <x:v>NOT_DISCLOSED</x:v>
      </x:c>
      <x:c r="G89" s="20" t="str">
        <x:v>UNKNOWN</x:v>
      </x:c>
      <x:c r="H89" s="20" t="str">
        <x:v>CONTEXTUAL</x:v>
      </x:c>
      <x:c r="I89" s="20" t="str">
        <x:v>还原投诉、补救与时间线</x:v>
      </x:c>
      <x:c r="J89" s="20" t="str">
        <x:v>可能降低可抗辩性或触发人工复核</x:v>
      </x:c>
      <x:c r="K89" s="20" t="str"/>
      <x:c r="L89" s="20" t="str">
        <x:v>仅记录类型与是否存在，不存原值</x:v>
      </x:c>
    </x:row>
    <x:row r="90" ht="66" customHeight="1">
      <x:c r="A90" s="20" t="str">
        <x:v>SYN-006</x:v>
      </x:c>
      <x:c r="B90" s="20" t="str">
        <x:v>transaction.receipt</x:v>
      </x:c>
      <x:c r="C90" s="20" t="str">
        <x:v>交易收据</x:v>
      </x:c>
      <x:c r="D90" s="20" t="str">
        <x:v>YES</x:v>
      </x:c>
      <x:c r="E90" s="20" t="str">
        <x:v>YES</x:v>
      </x:c>
      <x:c r="F90" s="20" t="str">
        <x:v>SYNTHETIC_MERCHANT_SYSTEM</x:v>
      </x:c>
      <x:c r="G90" s="20" t="str">
        <x:v>SIMULATED</x:v>
      </x:c>
      <x:c r="H90" s="20" t="str">
        <x:v>YES</x:v>
      </x:c>
      <x:c r="I90" s="20" t="str">
        <x:v>证明交易金额、时间和商户主体</x:v>
      </x:c>
      <x:c r="J90" s="20" t="str"/>
      <x:c r="K90" s="20" t="str"/>
      <x:c r="L90" s="20" t="str">
        <x:v>仅记录类型与是否存在，不存原值</x:v>
      </x:c>
    </x:row>
    <x:row r="91" ht="66" customHeight="1">
      <x:c r="A91" s="20" t="str">
        <x:v>SYN-006</x:v>
      </x:c>
      <x:c r="B91" s="20" t="str">
        <x:v>fulfillment.tracking</x:v>
      </x:c>
      <x:c r="C91" s="20" t="str">
        <x:v>物流轨迹</x:v>
      </x:c>
      <x:c r="D91" s="20" t="str">
        <x:v>YES</x:v>
      </x:c>
      <x:c r="E91" s="20" t="str">
        <x:v>YES</x:v>
      </x:c>
      <x:c r="F91" s="20" t="str">
        <x:v>SYNTHETIC_MERCHANT_SYSTEM</x:v>
      </x:c>
      <x:c r="G91" s="20" t="str">
        <x:v>SIMULATED</x:v>
      </x:c>
      <x:c r="H91" s="20" t="str">
        <x:v>CONTEXTUAL</x:v>
      </x:c>
      <x:c r="I91" s="20" t="str">
        <x:v>证明发货与运输节点</x:v>
      </x:c>
      <x:c r="J91" s="20" t="str"/>
      <x:c r="K91" s="20" t="str"/>
      <x:c r="L91" s="20" t="str">
        <x:v>仅记录类型与是否存在，不存原值</x:v>
      </x:c>
    </x:row>
    <x:row r="92" ht="66" customHeight="1">
      <x:c r="A92" s="20" t="str">
        <x:v>SYN-006</x:v>
      </x:c>
      <x:c r="B92" s="20" t="str">
        <x:v>fulfillment.proof_of_delivery</x:v>
      </x:c>
      <x:c r="C92" s="20" t="str">
        <x:v>签收证明</x:v>
      </x:c>
      <x:c r="D92" s="20" t="str">
        <x:v>YES</x:v>
      </x:c>
      <x:c r="E92" s="20" t="str">
        <x:v>YES</x:v>
      </x:c>
      <x:c r="F92" s="20" t="str">
        <x:v>SYNTHETIC_MERCHANT_SYSTEM</x:v>
      </x:c>
      <x:c r="G92" s="20" t="str">
        <x:v>SIMULATED</x:v>
      </x:c>
      <x:c r="H92" s="20" t="str">
        <x:v>YES</x:v>
      </x:c>
      <x:c r="I92" s="20" t="str">
        <x:v>证明送达时间、地点或签收人</x:v>
      </x:c>
      <x:c r="J92" s="20" t="str"/>
      <x:c r="K92" s="20" t="str"/>
      <x:c r="L92" s="20" t="str">
        <x:v>仅记录类型与是否存在，不存原值</x:v>
      </x:c>
    </x:row>
    <x:row r="93" ht="66" customHeight="1">
      <x:c r="A93" s="20" t="str">
        <x:v>SYN-006</x:v>
      </x:c>
      <x:c r="B93" s="20" t="str">
        <x:v>fulfillment.address_match</x:v>
      </x:c>
      <x:c r="C93" s="20" t="str">
        <x:v>地址匹配</x:v>
      </x:c>
      <x:c r="D93" s="20" t="str">
        <x:v>YES</x:v>
      </x:c>
      <x:c r="E93" s="20" t="str">
        <x:v>NO_OR_NOT_DISCLOSED</x:v>
      </x:c>
      <x:c r="F93" s="20" t="str">
        <x:v>NOT_DISCLOSED</x:v>
      </x:c>
      <x:c r="G93" s="20" t="str">
        <x:v>UNKNOWN</x:v>
      </x:c>
      <x:c r="H93" s="20" t="str">
        <x:v>CONTEXTUAL</x:v>
      </x:c>
      <x:c r="I93" s="20" t="str">
        <x:v>核对订单与履约地址</x:v>
      </x:c>
      <x:c r="J93" s="20" t="str">
        <x:v>可能降低可抗辩性或触发人工复核</x:v>
      </x:c>
      <x:c r="K93" s="20" t="str"/>
      <x:c r="L93" s="20" t="str">
        <x:v>仅记录类型与是否存在，不存原值</x:v>
      </x:c>
    </x:row>
    <x:row r="94" ht="66" customHeight="1">
      <x:c r="A94" s="20" t="str">
        <x:v>SYN-006</x:v>
      </x:c>
      <x:c r="B94" s="20" t="str">
        <x:v>comms.customer</x:v>
      </x:c>
      <x:c r="C94" s="20" t="str">
        <x:v>客户沟通</x:v>
      </x:c>
      <x:c r="D94" s="20" t="str">
        <x:v>YES</x:v>
      </x:c>
      <x:c r="E94" s="20" t="str">
        <x:v>YES</x:v>
      </x:c>
      <x:c r="F94" s="20" t="str">
        <x:v>SYNTHETIC_MERCHANT_SYSTEM</x:v>
      </x:c>
      <x:c r="G94" s="20" t="str">
        <x:v>SIMULATED</x:v>
      </x:c>
      <x:c r="H94" s="20" t="str">
        <x:v>CONTEXTUAL</x:v>
      </x:c>
      <x:c r="I94" s="20" t="str">
        <x:v>还原投诉、补救与时间线</x:v>
      </x:c>
      <x:c r="J94" s="20" t="str"/>
      <x:c r="K94" s="20" t="str"/>
      <x:c r="L94" s="20" t="str">
        <x:v>仅记录类型与是否存在，不存原值</x:v>
      </x:c>
    </x:row>
    <x:row r="95" ht="66" customHeight="1">
      <x:c r="A95" s="20" t="str">
        <x:v>SYN-007</x:v>
      </x:c>
      <x:c r="B95" s="20" t="str">
        <x:v>transaction.receipt</x:v>
      </x:c>
      <x:c r="C95" s="20" t="str">
        <x:v>交易收据</x:v>
      </x:c>
      <x:c r="D95" s="20" t="str">
        <x:v>YES</x:v>
      </x:c>
      <x:c r="E95" s="20" t="str">
        <x:v>YES</x:v>
      </x:c>
      <x:c r="F95" s="20" t="str">
        <x:v>SYNTHETIC_MERCHANT_SYSTEM</x:v>
      </x:c>
      <x:c r="G95" s="20" t="str">
        <x:v>SIMULATED</x:v>
      </x:c>
      <x:c r="H95" s="20" t="str">
        <x:v>YES</x:v>
      </x:c>
      <x:c r="I95" s="20" t="str">
        <x:v>证明交易金额、时间和商户主体</x:v>
      </x:c>
      <x:c r="J95" s="20" t="str"/>
      <x:c r="K95" s="20" t="str"/>
      <x:c r="L95" s="20" t="str">
        <x:v>仅记录类型与是否存在，不存原值</x:v>
      </x:c>
    </x:row>
    <x:row r="96" ht="66" customHeight="1">
      <x:c r="A96" s="20" t="str">
        <x:v>SYN-007</x:v>
      </x:c>
      <x:c r="B96" s="20" t="str">
        <x:v>fulfillment.tracking</x:v>
      </x:c>
      <x:c r="C96" s="20" t="str">
        <x:v>物流轨迹</x:v>
      </x:c>
      <x:c r="D96" s="20" t="str">
        <x:v>YES</x:v>
      </x:c>
      <x:c r="E96" s="20" t="str">
        <x:v>NO_OR_NOT_DISCLOSED</x:v>
      </x:c>
      <x:c r="F96" s="20" t="str">
        <x:v>NOT_DISCLOSED</x:v>
      </x:c>
      <x:c r="G96" s="20" t="str">
        <x:v>UNKNOWN</x:v>
      </x:c>
      <x:c r="H96" s="20" t="str">
        <x:v>CONTEXTUAL</x:v>
      </x:c>
      <x:c r="I96" s="20" t="str">
        <x:v>证明发货与运输节点</x:v>
      </x:c>
      <x:c r="J96" s="20" t="str">
        <x:v>可能降低可抗辩性或触发人工复核</x:v>
      </x:c>
      <x:c r="K96" s="20" t="str"/>
      <x:c r="L96" s="20" t="str">
        <x:v>仅记录类型与是否存在，不存原值</x:v>
      </x:c>
    </x:row>
    <x:row r="97" ht="66" customHeight="1">
      <x:c r="A97" s="20" t="str">
        <x:v>SYN-007</x:v>
      </x:c>
      <x:c r="B97" s="20" t="str">
        <x:v>fulfillment.proof_of_delivery</x:v>
      </x:c>
      <x:c r="C97" s="20" t="str">
        <x:v>签收证明</x:v>
      </x:c>
      <x:c r="D97" s="20" t="str">
        <x:v>YES</x:v>
      </x:c>
      <x:c r="E97" s="20" t="str">
        <x:v>NO_OR_NOT_DISCLOSED</x:v>
      </x:c>
      <x:c r="F97" s="20" t="str">
        <x:v>NOT_DISCLOSED</x:v>
      </x:c>
      <x:c r="G97" s="20" t="str">
        <x:v>UNKNOWN</x:v>
      </x:c>
      <x:c r="H97" s="20" t="str">
        <x:v>YES</x:v>
      </x:c>
      <x:c r="I97" s="20" t="str">
        <x:v>证明送达时间、地点或签收人</x:v>
      </x:c>
      <x:c r="J97" s="20" t="str">
        <x:v>可能降低可抗辩性或触发人工复核</x:v>
      </x:c>
      <x:c r="K97" s="20" t="str"/>
      <x:c r="L97" s="20" t="str">
        <x:v>仅记录类型与是否存在，不存原值</x:v>
      </x:c>
    </x:row>
    <x:row r="98" ht="66" customHeight="1">
      <x:c r="A98" s="20" t="str">
        <x:v>SYN-007</x:v>
      </x:c>
      <x:c r="B98" s="20" t="str">
        <x:v>fulfillment.address_match</x:v>
      </x:c>
      <x:c r="C98" s="20" t="str">
        <x:v>地址匹配</x:v>
      </x:c>
      <x:c r="D98" s="20" t="str">
        <x:v>YES</x:v>
      </x:c>
      <x:c r="E98" s="20" t="str">
        <x:v>NO_OR_NOT_DISCLOSED</x:v>
      </x:c>
      <x:c r="F98" s="20" t="str">
        <x:v>NOT_DISCLOSED</x:v>
      </x:c>
      <x:c r="G98" s="20" t="str">
        <x:v>UNKNOWN</x:v>
      </x:c>
      <x:c r="H98" s="20" t="str">
        <x:v>CONTEXTUAL</x:v>
      </x:c>
      <x:c r="I98" s="20" t="str">
        <x:v>核对订单与履约地址</x:v>
      </x:c>
      <x:c r="J98" s="20" t="str">
        <x:v>可能降低可抗辩性或触发人工复核</x:v>
      </x:c>
      <x:c r="K98" s="20" t="str"/>
      <x:c r="L98" s="20" t="str">
        <x:v>仅记录类型与是否存在，不存原值</x:v>
      </x:c>
    </x:row>
    <x:row r="99" ht="66" customHeight="1">
      <x:c r="A99" s="20" t="str">
        <x:v>SYN-007</x:v>
      </x:c>
      <x:c r="B99" s="20" t="str">
        <x:v>comms.customer</x:v>
      </x:c>
      <x:c r="C99" s="20" t="str">
        <x:v>客户沟通</x:v>
      </x:c>
      <x:c r="D99" s="20" t="str">
        <x:v>YES</x:v>
      </x:c>
      <x:c r="E99" s="20" t="str">
        <x:v>YES</x:v>
      </x:c>
      <x:c r="F99" s="20" t="str">
        <x:v>SYNTHETIC_MERCHANT_SYSTEM</x:v>
      </x:c>
      <x:c r="G99" s="20" t="str">
        <x:v>SIMULATED</x:v>
      </x:c>
      <x:c r="H99" s="20" t="str">
        <x:v>CONTEXTUAL</x:v>
      </x:c>
      <x:c r="I99" s="20" t="str">
        <x:v>还原投诉、补救与时间线</x:v>
      </x:c>
      <x:c r="J99" s="20" t="str"/>
      <x:c r="K99" s="20" t="str"/>
      <x:c r="L99" s="20" t="str">
        <x:v>仅记录类型与是否存在，不存原值</x:v>
      </x:c>
    </x:row>
    <x:row r="100" ht="66" customHeight="1">
      <x:c r="A100" s="20" t="str">
        <x:v>SYN-008</x:v>
      </x:c>
      <x:c r="B100" s="20" t="str">
        <x:v>transaction.receipt</x:v>
      </x:c>
      <x:c r="C100" s="20" t="str">
        <x:v>交易收据</x:v>
      </x:c>
      <x:c r="D100" s="20" t="str">
        <x:v>YES</x:v>
      </x:c>
      <x:c r="E100" s="20" t="str">
        <x:v>YES</x:v>
      </x:c>
      <x:c r="F100" s="20" t="str">
        <x:v>SYNTHETIC_MERCHANT_SYSTEM</x:v>
      </x:c>
      <x:c r="G100" s="20" t="str">
        <x:v>SIMULATED</x:v>
      </x:c>
      <x:c r="H100" s="20" t="str">
        <x:v>YES</x:v>
      </x:c>
      <x:c r="I100" s="20" t="str">
        <x:v>证明交易金额、时间和商户主体</x:v>
      </x:c>
      <x:c r="J100" s="20" t="str"/>
      <x:c r="K100" s="20" t="str"/>
      <x:c r="L100" s="20" t="str">
        <x:v>仅记录类型与是否存在，不存原值</x:v>
      </x:c>
    </x:row>
    <x:row r="101" ht="66" customHeight="1">
      <x:c r="A101" s="20" t="str">
        <x:v>SYN-008</x:v>
      </x:c>
      <x:c r="B101" s="20" t="str">
        <x:v>fulfillment.tracking</x:v>
      </x:c>
      <x:c r="C101" s="20" t="str">
        <x:v>物流轨迹</x:v>
      </x:c>
      <x:c r="D101" s="20" t="str">
        <x:v>YES</x:v>
      </x:c>
      <x:c r="E101" s="20" t="str">
        <x:v>NO_OR_NOT_DISCLOSED</x:v>
      </x:c>
      <x:c r="F101" s="20" t="str">
        <x:v>NOT_DISCLOSED</x:v>
      </x:c>
      <x:c r="G101" s="20" t="str">
        <x:v>UNKNOWN</x:v>
      </x:c>
      <x:c r="H101" s="20" t="str">
        <x:v>CONTEXTUAL</x:v>
      </x:c>
      <x:c r="I101" s="20" t="str">
        <x:v>证明发货与运输节点</x:v>
      </x:c>
      <x:c r="J101" s="20" t="str">
        <x:v>可能降低可抗辩性或触发人工复核</x:v>
      </x:c>
      <x:c r="K101" s="20" t="str"/>
      <x:c r="L101" s="20" t="str">
        <x:v>仅记录类型与是否存在，不存原值</x:v>
      </x:c>
    </x:row>
    <x:row r="102" ht="66" customHeight="1">
      <x:c r="A102" s="20" t="str">
        <x:v>SYN-008</x:v>
      </x:c>
      <x:c r="B102" s="20" t="str">
        <x:v>fulfillment.proof_of_delivery</x:v>
      </x:c>
      <x:c r="C102" s="20" t="str">
        <x:v>签收证明</x:v>
      </x:c>
      <x:c r="D102" s="20" t="str">
        <x:v>YES</x:v>
      </x:c>
      <x:c r="E102" s="20" t="str">
        <x:v>NO_OR_NOT_DISCLOSED</x:v>
      </x:c>
      <x:c r="F102" s="20" t="str">
        <x:v>NOT_DISCLOSED</x:v>
      </x:c>
      <x:c r="G102" s="20" t="str">
        <x:v>UNKNOWN</x:v>
      </x:c>
      <x:c r="H102" s="20" t="str">
        <x:v>YES</x:v>
      </x:c>
      <x:c r="I102" s="20" t="str">
        <x:v>证明送达时间、地点或签收人</x:v>
      </x:c>
      <x:c r="J102" s="20" t="str">
        <x:v>可能降低可抗辩性或触发人工复核</x:v>
      </x:c>
      <x:c r="K102" s="20" t="str"/>
      <x:c r="L102" s="20" t="str">
        <x:v>仅记录类型与是否存在，不存原值</x:v>
      </x:c>
    </x:row>
    <x:row r="103" ht="66" customHeight="1">
      <x:c r="A103" s="20" t="str">
        <x:v>SYN-008</x:v>
      </x:c>
      <x:c r="B103" s="20" t="str">
        <x:v>fulfillment.address_match</x:v>
      </x:c>
      <x:c r="C103" s="20" t="str">
        <x:v>地址匹配</x:v>
      </x:c>
      <x:c r="D103" s="20" t="str">
        <x:v>YES</x:v>
      </x:c>
      <x:c r="E103" s="20" t="str">
        <x:v>NO_OR_NOT_DISCLOSED</x:v>
      </x:c>
      <x:c r="F103" s="20" t="str">
        <x:v>NOT_DISCLOSED</x:v>
      </x:c>
      <x:c r="G103" s="20" t="str">
        <x:v>UNKNOWN</x:v>
      </x:c>
      <x:c r="H103" s="20" t="str">
        <x:v>CONTEXTUAL</x:v>
      </x:c>
      <x:c r="I103" s="20" t="str">
        <x:v>核对订单与履约地址</x:v>
      </x:c>
      <x:c r="J103" s="20" t="str">
        <x:v>可能降低可抗辩性或触发人工复核</x:v>
      </x:c>
      <x:c r="K103" s="20" t="str"/>
      <x:c r="L103" s="20" t="str">
        <x:v>仅记录类型与是否存在，不存原值</x:v>
      </x:c>
    </x:row>
    <x:row r="104" ht="66" customHeight="1">
      <x:c r="A104" s="20" t="str">
        <x:v>SYN-008</x:v>
      </x:c>
      <x:c r="B104" s="20" t="str">
        <x:v>comms.customer</x:v>
      </x:c>
      <x:c r="C104" s="20" t="str">
        <x:v>客户沟通</x:v>
      </x:c>
      <x:c r="D104" s="20" t="str">
        <x:v>YES</x:v>
      </x:c>
      <x:c r="E104" s="20" t="str">
        <x:v>YES</x:v>
      </x:c>
      <x:c r="F104" s="20" t="str">
        <x:v>SYNTHETIC_MERCHANT_SYSTEM</x:v>
      </x:c>
      <x:c r="G104" s="20" t="str">
        <x:v>SIMULATED</x:v>
      </x:c>
      <x:c r="H104" s="20" t="str">
        <x:v>CONTEXTUAL</x:v>
      </x:c>
      <x:c r="I104" s="20" t="str">
        <x:v>还原投诉、补救与时间线</x:v>
      </x:c>
      <x:c r="J104" s="20" t="str"/>
      <x:c r="K104" s="20" t="str"/>
      <x:c r="L104" s="20" t="str">
        <x:v>仅记录类型与是否存在，不存原值</x:v>
      </x:c>
    </x:row>
    <x:row r="105" ht="66" customHeight="1">
      <x:c r="A105" s="20" t="str">
        <x:v>SYN-009</x:v>
      </x:c>
      <x:c r="B105" s="20" t="str">
        <x:v>transaction.receipt</x:v>
      </x:c>
      <x:c r="C105" s="20" t="str">
        <x:v>交易收据</x:v>
      </x:c>
      <x:c r="D105" s="20" t="str">
        <x:v>YES</x:v>
      </x:c>
      <x:c r="E105" s="20" t="str">
        <x:v>YES</x:v>
      </x:c>
      <x:c r="F105" s="20" t="str">
        <x:v>SYNTHETIC_MERCHANT_SYSTEM</x:v>
      </x:c>
      <x:c r="G105" s="20" t="str">
        <x:v>SIMULATED</x:v>
      </x:c>
      <x:c r="H105" s="20" t="str">
        <x:v>YES</x:v>
      </x:c>
      <x:c r="I105" s="20" t="str">
        <x:v>证明交易金额、时间和商户主体</x:v>
      </x:c>
      <x:c r="J105" s="20" t="str"/>
      <x:c r="K105" s="20" t="str"/>
      <x:c r="L105" s="20" t="str">
        <x:v>仅记录类型与是否存在，不存原值</x:v>
      </x:c>
    </x:row>
    <x:row r="106" ht="66" customHeight="1">
      <x:c r="A106" s="20" t="str">
        <x:v>SYN-009</x:v>
      </x:c>
      <x:c r="B106" s="20" t="str">
        <x:v>product.description</x:v>
      </x:c>
      <x:c r="C106" s="20" t="str">
        <x:v>商品描述</x:v>
      </x:c>
      <x:c r="D106" s="20" t="str">
        <x:v>YES</x:v>
      </x:c>
      <x:c r="E106" s="20" t="str">
        <x:v>YES</x:v>
      </x:c>
      <x:c r="F106" s="20" t="str">
        <x:v>SYNTHETIC_MERCHANT_SYSTEM</x:v>
      </x:c>
      <x:c r="G106" s="20" t="str">
        <x:v>SIMULATED</x:v>
      </x:c>
      <x:c r="H106" s="20" t="str">
        <x:v>YES</x:v>
      </x:c>
      <x:c r="I106" s="20" t="str">
        <x:v>固定交易时展示的规格与承诺</x:v>
      </x:c>
      <x:c r="J106" s="20" t="str"/>
      <x:c r="K106" s="20" t="str"/>
      <x:c r="L106" s="20" t="str">
        <x:v>仅记录类型与是否存在，不存原值</x:v>
      </x:c>
    </x:row>
    <x:row r="107" ht="66" customHeight="1">
      <x:c r="A107" s="20" t="str">
        <x:v>SYN-009</x:v>
      </x:c>
      <x:c r="B107" s="20" t="str">
        <x:v>comms.customer</x:v>
      </x:c>
      <x:c r="C107" s="20" t="str">
        <x:v>客户沟通</x:v>
      </x:c>
      <x:c r="D107" s="20" t="str">
        <x:v>YES</x:v>
      </x:c>
      <x:c r="E107" s="20" t="str">
        <x:v>YES</x:v>
      </x:c>
      <x:c r="F107" s="20" t="str">
        <x:v>SYNTHETIC_MERCHANT_SYSTEM</x:v>
      </x:c>
      <x:c r="G107" s="20" t="str">
        <x:v>SIMULATED</x:v>
      </x:c>
      <x:c r="H107" s="20" t="str">
        <x:v>CONTEXTUAL</x:v>
      </x:c>
      <x:c r="I107" s="20" t="str">
        <x:v>还原投诉、补救与时间线</x:v>
      </x:c>
      <x:c r="J107" s="20" t="str"/>
      <x:c r="K107" s="20" t="str"/>
      <x:c r="L107" s="20" t="str">
        <x:v>仅记录类型与是否存在，不存原值</x:v>
      </x:c>
    </x:row>
    <x:row r="108" ht="66" customHeight="1">
      <x:c r="A108" s="20" t="str">
        <x:v>SYN-009</x:v>
      </x:c>
      <x:c r="B108" s="20" t="str">
        <x:v>policy.terms_refund</x:v>
      </x:c>
      <x:c r="C108" s="20" t="str">
        <x:v>条款与退款政策</x:v>
      </x:c>
      <x:c r="D108" s="20" t="str">
        <x:v>YES</x:v>
      </x:c>
      <x:c r="E108" s="20" t="str">
        <x:v>NO_OR_NOT_DISCLOSED</x:v>
      </x:c>
      <x:c r="F108" s="20" t="str">
        <x:v>NOT_DISCLOSED</x:v>
      </x:c>
      <x:c r="G108" s="20" t="str">
        <x:v>UNKNOWN</x:v>
      </x:c>
      <x:c r="H108" s="20" t="str">
        <x:v>CONTEXTUAL</x:v>
      </x:c>
      <x:c r="I108" s="20" t="str">
        <x:v>证明交易时披露并同意的规则</x:v>
      </x:c>
      <x:c r="J108" s="20" t="str">
        <x:v>可能降低可抗辩性或触发人工复核</x:v>
      </x:c>
      <x:c r="K108" s="20" t="str"/>
      <x:c r="L108" s="20" t="str">
        <x:v>仅记录类型与是否存在，不存原值</x:v>
      </x:c>
    </x:row>
    <x:row r="109" ht="66" customHeight="1">
      <x:c r="A109" s="20" t="str">
        <x:v>SYN-009</x:v>
      </x:c>
      <x:c r="B109" s="20" t="str">
        <x:v>fulfillment.proof_of_delivery</x:v>
      </x:c>
      <x:c r="C109" s="20" t="str">
        <x:v>签收证明</x:v>
      </x:c>
      <x:c r="D109" s="20" t="str">
        <x:v>YES</x:v>
      </x:c>
      <x:c r="E109" s="20" t="str">
        <x:v>YES</x:v>
      </x:c>
      <x:c r="F109" s="20" t="str">
        <x:v>SYNTHETIC_MERCHANT_SYSTEM</x:v>
      </x:c>
      <x:c r="G109" s="20" t="str">
        <x:v>SIMULATED</x:v>
      </x:c>
      <x:c r="H109" s="20" t="str">
        <x:v>YES</x:v>
      </x:c>
      <x:c r="I109" s="20" t="str">
        <x:v>证明送达时间、地点或签收人</x:v>
      </x:c>
      <x:c r="J109" s="20" t="str"/>
      <x:c r="K109" s="20" t="str"/>
      <x:c r="L109" s="20" t="str">
        <x:v>仅记录类型与是否存在，不存原值</x:v>
      </x:c>
    </x:row>
    <x:row r="110" ht="66" customHeight="1">
      <x:c r="A110" s="20" t="str">
        <x:v>SYN-010</x:v>
      </x:c>
      <x:c r="B110" s="20" t="str">
        <x:v>transaction.receipt</x:v>
      </x:c>
      <x:c r="C110" s="20" t="str">
        <x:v>交易收据</x:v>
      </x:c>
      <x:c r="D110" s="20" t="str">
        <x:v>YES</x:v>
      </x:c>
      <x:c r="E110" s="20" t="str">
        <x:v>YES</x:v>
      </x:c>
      <x:c r="F110" s="20" t="str">
        <x:v>SYNTHETIC_MERCHANT_SYSTEM</x:v>
      </x:c>
      <x:c r="G110" s="20" t="str">
        <x:v>SIMULATED</x:v>
      </x:c>
      <x:c r="H110" s="20" t="str">
        <x:v>YES</x:v>
      </x:c>
      <x:c r="I110" s="20" t="str">
        <x:v>证明交易金额、时间和商户主体</x:v>
      </x:c>
      <x:c r="J110" s="20" t="str"/>
      <x:c r="K110" s="20" t="str"/>
      <x:c r="L110" s="20" t="str">
        <x:v>仅记录类型与是否存在，不存原值</x:v>
      </x:c>
    </x:row>
    <x:row r="111" ht="66" customHeight="1">
      <x:c r="A111" s="20" t="str">
        <x:v>SYN-010</x:v>
      </x:c>
      <x:c r="B111" s="20" t="str">
        <x:v>product.description</x:v>
      </x:c>
      <x:c r="C111" s="20" t="str">
        <x:v>商品描述</x:v>
      </x:c>
      <x:c r="D111" s="20" t="str">
        <x:v>YES</x:v>
      </x:c>
      <x:c r="E111" s="20" t="str">
        <x:v>YES</x:v>
      </x:c>
      <x:c r="F111" s="20" t="str">
        <x:v>SYNTHETIC_MERCHANT_SYSTEM</x:v>
      </x:c>
      <x:c r="G111" s="20" t="str">
        <x:v>SIMULATED</x:v>
      </x:c>
      <x:c r="H111" s="20" t="str">
        <x:v>YES</x:v>
      </x:c>
      <x:c r="I111" s="20" t="str">
        <x:v>固定交易时展示的规格与承诺</x:v>
      </x:c>
      <x:c r="J111" s="20" t="str"/>
      <x:c r="K111" s="20" t="str"/>
      <x:c r="L111" s="20" t="str">
        <x:v>仅记录类型与是否存在，不存原值</x:v>
      </x:c>
    </x:row>
    <x:row r="112" ht="66" customHeight="1">
      <x:c r="A112" s="20" t="str">
        <x:v>SYN-010</x:v>
      </x:c>
      <x:c r="B112" s="20" t="str">
        <x:v>comms.customer</x:v>
      </x:c>
      <x:c r="C112" s="20" t="str">
        <x:v>客户沟通</x:v>
      </x:c>
      <x:c r="D112" s="20" t="str">
        <x:v>YES</x:v>
      </x:c>
      <x:c r="E112" s="20" t="str">
        <x:v>YES</x:v>
      </x:c>
      <x:c r="F112" s="20" t="str">
        <x:v>SYNTHETIC_MERCHANT_SYSTEM</x:v>
      </x:c>
      <x:c r="G112" s="20" t="str">
        <x:v>SIMULATED</x:v>
      </x:c>
      <x:c r="H112" s="20" t="str">
        <x:v>CONTEXTUAL</x:v>
      </x:c>
      <x:c r="I112" s="20" t="str">
        <x:v>还原投诉、补救与时间线</x:v>
      </x:c>
      <x:c r="J112" s="20" t="str"/>
      <x:c r="K112" s="20" t="str"/>
      <x:c r="L112" s="20" t="str">
        <x:v>仅记录类型与是否存在，不存原值</x:v>
      </x:c>
    </x:row>
    <x:row r="113" ht="66" customHeight="1">
      <x:c r="A113" s="20" t="str">
        <x:v>SYN-010</x:v>
      </x:c>
      <x:c r="B113" s="20" t="str">
        <x:v>policy.terms_refund</x:v>
      </x:c>
      <x:c r="C113" s="20" t="str">
        <x:v>条款与退款政策</x:v>
      </x:c>
      <x:c r="D113" s="20" t="str">
        <x:v>YES</x:v>
      </x:c>
      <x:c r="E113" s="20" t="str">
        <x:v>YES</x:v>
      </x:c>
      <x:c r="F113" s="20" t="str">
        <x:v>SYNTHETIC_MERCHANT_SYSTEM</x:v>
      </x:c>
      <x:c r="G113" s="20" t="str">
        <x:v>SIMULATED</x:v>
      </x:c>
      <x:c r="H113" s="20" t="str">
        <x:v>CONTEXTUAL</x:v>
      </x:c>
      <x:c r="I113" s="20" t="str">
        <x:v>证明交易时披露并同意的规则</x:v>
      </x:c>
      <x:c r="J113" s="20" t="str"/>
      <x:c r="K113" s="20" t="str"/>
      <x:c r="L113" s="20" t="str">
        <x:v>仅记录类型与是否存在，不存原值</x:v>
      </x:c>
    </x:row>
    <x:row r="114" ht="66" customHeight="1">
      <x:c r="A114" s="20" t="str">
        <x:v>SYN-010</x:v>
      </x:c>
      <x:c r="B114" s="20" t="str">
        <x:v>fulfillment.proof_of_delivery</x:v>
      </x:c>
      <x:c r="C114" s="20" t="str">
        <x:v>签收证明</x:v>
      </x:c>
      <x:c r="D114" s="20" t="str">
        <x:v>YES</x:v>
      </x:c>
      <x:c r="E114" s="20" t="str">
        <x:v>YES</x:v>
      </x:c>
      <x:c r="F114" s="20" t="str">
        <x:v>SYNTHETIC_MERCHANT_SYSTEM</x:v>
      </x:c>
      <x:c r="G114" s="20" t="str">
        <x:v>SIMULATED</x:v>
      </x:c>
      <x:c r="H114" s="20" t="str">
        <x:v>YES</x:v>
      </x:c>
      <x:c r="I114" s="20" t="str">
        <x:v>证明送达时间、地点或签收人</x:v>
      </x:c>
      <x:c r="J114" s="20" t="str"/>
      <x:c r="K114" s="20" t="str"/>
      <x:c r="L114" s="20" t="str">
        <x:v>仅记录类型与是否存在，不存原值</x:v>
      </x:c>
    </x:row>
    <x:row r="115" ht="66" customHeight="1">
      <x:c r="A115" s="20" t="str">
        <x:v>SYN-011</x:v>
      </x:c>
      <x:c r="B115" s="20" t="str">
        <x:v>transaction.receipt</x:v>
      </x:c>
      <x:c r="C115" s="20" t="str">
        <x:v>交易收据</x:v>
      </x:c>
      <x:c r="D115" s="20" t="str">
        <x:v>YES</x:v>
      </x:c>
      <x:c r="E115" s="20" t="str">
        <x:v>YES</x:v>
      </x:c>
      <x:c r="F115" s="20" t="str">
        <x:v>SYNTHETIC_MERCHANT_SYSTEM</x:v>
      </x:c>
      <x:c r="G115" s="20" t="str">
        <x:v>SIMULATED</x:v>
      </x:c>
      <x:c r="H115" s="20" t="str">
        <x:v>YES</x:v>
      </x:c>
      <x:c r="I115" s="20" t="str">
        <x:v>证明交易金额、时间和商户主体</x:v>
      </x:c>
      <x:c r="J115" s="20" t="str"/>
      <x:c r="K115" s="20" t="str"/>
      <x:c r="L115" s="20" t="str">
        <x:v>仅记录类型与是否存在，不存原值</x:v>
      </x:c>
    </x:row>
    <x:row r="116" ht="66" customHeight="1">
      <x:c r="A116" s="20" t="str">
        <x:v>SYN-011</x:v>
      </x:c>
      <x:c r="B116" s="20" t="str">
        <x:v>product.description</x:v>
      </x:c>
      <x:c r="C116" s="20" t="str">
        <x:v>商品描述</x:v>
      </x:c>
      <x:c r="D116" s="20" t="str">
        <x:v>YES</x:v>
      </x:c>
      <x:c r="E116" s="20" t="str">
        <x:v>YES</x:v>
      </x:c>
      <x:c r="F116" s="20" t="str">
        <x:v>SYNTHETIC_MERCHANT_SYSTEM</x:v>
      </x:c>
      <x:c r="G116" s="20" t="str">
        <x:v>SIMULATED</x:v>
      </x:c>
      <x:c r="H116" s="20" t="str">
        <x:v>YES</x:v>
      </x:c>
      <x:c r="I116" s="20" t="str">
        <x:v>固定交易时展示的规格与承诺</x:v>
      </x:c>
      <x:c r="J116" s="20" t="str"/>
      <x:c r="K116" s="20" t="str"/>
      <x:c r="L116" s="20" t="str">
        <x:v>仅记录类型与是否存在，不存原值</x:v>
      </x:c>
    </x:row>
    <x:row r="117" ht="66" customHeight="1">
      <x:c r="A117" s="20" t="str">
        <x:v>SYN-011</x:v>
      </x:c>
      <x:c r="B117" s="20" t="str">
        <x:v>comms.customer</x:v>
      </x:c>
      <x:c r="C117" s="20" t="str">
        <x:v>客户沟通</x:v>
      </x:c>
      <x:c r="D117" s="20" t="str">
        <x:v>YES</x:v>
      </x:c>
      <x:c r="E117" s="20" t="str">
        <x:v>YES</x:v>
      </x:c>
      <x:c r="F117" s="20" t="str">
        <x:v>SYNTHETIC_MERCHANT_SYSTEM</x:v>
      </x:c>
      <x:c r="G117" s="20" t="str">
        <x:v>SIMULATED</x:v>
      </x:c>
      <x:c r="H117" s="20" t="str">
        <x:v>CONTEXTUAL</x:v>
      </x:c>
      <x:c r="I117" s="20" t="str">
        <x:v>还原投诉、补救与时间线</x:v>
      </x:c>
      <x:c r="J117" s="20" t="str"/>
      <x:c r="K117" s="20" t="str"/>
      <x:c r="L117" s="20" t="str">
        <x:v>仅记录类型与是否存在，不存原值</x:v>
      </x:c>
    </x:row>
    <x:row r="118" ht="66" customHeight="1">
      <x:c r="A118" s="20" t="str">
        <x:v>SYN-011</x:v>
      </x:c>
      <x:c r="B118" s="20" t="str">
        <x:v>policy.terms_refund</x:v>
      </x:c>
      <x:c r="C118" s="20" t="str">
        <x:v>条款与退款政策</x:v>
      </x:c>
      <x:c r="D118" s="20" t="str">
        <x:v>YES</x:v>
      </x:c>
      <x:c r="E118" s="20" t="str">
        <x:v>NO_OR_NOT_DISCLOSED</x:v>
      </x:c>
      <x:c r="F118" s="20" t="str">
        <x:v>NOT_DISCLOSED</x:v>
      </x:c>
      <x:c r="G118" s="20" t="str">
        <x:v>UNKNOWN</x:v>
      </x:c>
      <x:c r="H118" s="20" t="str">
        <x:v>CONTEXTUAL</x:v>
      </x:c>
      <x:c r="I118" s="20" t="str">
        <x:v>证明交易时披露并同意的规则</x:v>
      </x:c>
      <x:c r="J118" s="20" t="str">
        <x:v>可能降低可抗辩性或触发人工复核</x:v>
      </x:c>
      <x:c r="K118" s="20" t="str"/>
      <x:c r="L118" s="20" t="str">
        <x:v>仅记录类型与是否存在，不存原值</x:v>
      </x:c>
    </x:row>
    <x:row r="119" ht="66" customHeight="1">
      <x:c r="A119" s="20" t="str">
        <x:v>SYN-011</x:v>
      </x:c>
      <x:c r="B119" s="20" t="str">
        <x:v>fulfillment.proof_of_delivery</x:v>
      </x:c>
      <x:c r="C119" s="20" t="str">
        <x:v>签收证明</x:v>
      </x:c>
      <x:c r="D119" s="20" t="str">
        <x:v>YES</x:v>
      </x:c>
      <x:c r="E119" s="20" t="str">
        <x:v>YES</x:v>
      </x:c>
      <x:c r="F119" s="20" t="str">
        <x:v>SYNTHETIC_MERCHANT_SYSTEM</x:v>
      </x:c>
      <x:c r="G119" s="20" t="str">
        <x:v>SIMULATED</x:v>
      </x:c>
      <x:c r="H119" s="20" t="str">
        <x:v>YES</x:v>
      </x:c>
      <x:c r="I119" s="20" t="str">
        <x:v>证明送达时间、地点或签收人</x:v>
      </x:c>
      <x:c r="J119" s="20" t="str"/>
      <x:c r="K119" s="20" t="str"/>
      <x:c r="L119" s="20" t="str">
        <x:v>仅记录类型与是否存在，不存原值</x:v>
      </x:c>
    </x:row>
    <x:row r="120" ht="66" customHeight="1">
      <x:c r="A120" s="20" t="str">
        <x:v>SYN-012</x:v>
      </x:c>
      <x:c r="B120" s="20" t="str">
        <x:v>transaction.receipt</x:v>
      </x:c>
      <x:c r="C120" s="20" t="str">
        <x:v>交易收据</x:v>
      </x:c>
      <x:c r="D120" s="20" t="str">
        <x:v>YES</x:v>
      </x:c>
      <x:c r="E120" s="20" t="str">
        <x:v>YES</x:v>
      </x:c>
      <x:c r="F120" s="20" t="str">
        <x:v>SYNTHETIC_MERCHANT_SYSTEM</x:v>
      </x:c>
      <x:c r="G120" s="20" t="str">
        <x:v>SIMULATED</x:v>
      </x:c>
      <x:c r="H120" s="20" t="str">
        <x:v>YES</x:v>
      </x:c>
      <x:c r="I120" s="20" t="str">
        <x:v>证明交易金额、时间和商户主体</x:v>
      </x:c>
      <x:c r="J120" s="20" t="str"/>
      <x:c r="K120" s="20" t="str"/>
      <x:c r="L120" s="20" t="str">
        <x:v>仅记录类型与是否存在，不存原值</x:v>
      </x:c>
    </x:row>
    <x:row r="121" ht="66" customHeight="1">
      <x:c r="A121" s="20" t="str">
        <x:v>SYN-012</x:v>
      </x:c>
      <x:c r="B121" s="20" t="str">
        <x:v>product.description</x:v>
      </x:c>
      <x:c r="C121" s="20" t="str">
        <x:v>商品描述</x:v>
      </x:c>
      <x:c r="D121" s="20" t="str">
        <x:v>YES</x:v>
      </x:c>
      <x:c r="E121" s="20" t="str">
        <x:v>YES</x:v>
      </x:c>
      <x:c r="F121" s="20" t="str">
        <x:v>SYNTHETIC_MERCHANT_SYSTEM</x:v>
      </x:c>
      <x:c r="G121" s="20" t="str">
        <x:v>SIMULATED</x:v>
      </x:c>
      <x:c r="H121" s="20" t="str">
        <x:v>YES</x:v>
      </x:c>
      <x:c r="I121" s="20" t="str">
        <x:v>固定交易时展示的规格与承诺</x:v>
      </x:c>
      <x:c r="J121" s="20" t="str"/>
      <x:c r="K121" s="20" t="str"/>
      <x:c r="L121" s="20" t="str">
        <x:v>仅记录类型与是否存在，不存原值</x:v>
      </x:c>
    </x:row>
    <x:row r="122" ht="66" customHeight="1">
      <x:c r="A122" s="20" t="str">
        <x:v>SYN-012</x:v>
      </x:c>
      <x:c r="B122" s="20" t="str">
        <x:v>comms.customer</x:v>
      </x:c>
      <x:c r="C122" s="20" t="str">
        <x:v>客户沟通</x:v>
      </x:c>
      <x:c r="D122" s="20" t="str">
        <x:v>YES</x:v>
      </x:c>
      <x:c r="E122" s="20" t="str">
        <x:v>YES</x:v>
      </x:c>
      <x:c r="F122" s="20" t="str">
        <x:v>SYNTHETIC_MERCHANT_SYSTEM</x:v>
      </x:c>
      <x:c r="G122" s="20" t="str">
        <x:v>SIMULATED</x:v>
      </x:c>
      <x:c r="H122" s="20" t="str">
        <x:v>CONTEXTUAL</x:v>
      </x:c>
      <x:c r="I122" s="20" t="str">
        <x:v>还原投诉、补救与时间线</x:v>
      </x:c>
      <x:c r="J122" s="20" t="str"/>
      <x:c r="K122" s="20" t="str"/>
      <x:c r="L122" s="20" t="str">
        <x:v>仅记录类型与是否存在，不存原值</x:v>
      </x:c>
    </x:row>
    <x:row r="123" ht="66" customHeight="1">
      <x:c r="A123" s="20" t="str">
        <x:v>SYN-012</x:v>
      </x:c>
      <x:c r="B123" s="20" t="str">
        <x:v>policy.terms_refund</x:v>
      </x:c>
      <x:c r="C123" s="20" t="str">
        <x:v>条款与退款政策</x:v>
      </x:c>
      <x:c r="D123" s="20" t="str">
        <x:v>YES</x:v>
      </x:c>
      <x:c r="E123" s="20" t="str">
        <x:v>YES</x:v>
      </x:c>
      <x:c r="F123" s="20" t="str">
        <x:v>SYNTHETIC_MERCHANT_SYSTEM</x:v>
      </x:c>
      <x:c r="G123" s="20" t="str">
        <x:v>SIMULATED</x:v>
      </x:c>
      <x:c r="H123" s="20" t="str">
        <x:v>CONTEXTUAL</x:v>
      </x:c>
      <x:c r="I123" s="20" t="str">
        <x:v>证明交易时披露并同意的规则</x:v>
      </x:c>
      <x:c r="J123" s="20" t="str"/>
      <x:c r="K123" s="20" t="str"/>
      <x:c r="L123" s="20" t="str">
        <x:v>仅记录类型与是否存在，不存原值</x:v>
      </x:c>
    </x:row>
    <x:row r="124" ht="66" customHeight="1">
      <x:c r="A124" s="20" t="str">
        <x:v>SYN-012</x:v>
      </x:c>
      <x:c r="B124" s="20" t="str">
        <x:v>fulfillment.proof_of_delivery</x:v>
      </x:c>
      <x:c r="C124" s="20" t="str">
        <x:v>签收证明</x:v>
      </x:c>
      <x:c r="D124" s="20" t="str">
        <x:v>YES</x:v>
      </x:c>
      <x:c r="E124" s="20" t="str">
        <x:v>NO_OR_NOT_DISCLOSED</x:v>
      </x:c>
      <x:c r="F124" s="20" t="str">
        <x:v>NOT_DISCLOSED</x:v>
      </x:c>
      <x:c r="G124" s="20" t="str">
        <x:v>UNKNOWN</x:v>
      </x:c>
      <x:c r="H124" s="20" t="str">
        <x:v>YES</x:v>
      </x:c>
      <x:c r="I124" s="20" t="str">
        <x:v>证明送达时间、地点或签收人</x:v>
      </x:c>
      <x:c r="J124" s="20" t="str">
        <x:v>可能降低可抗辩性或触发人工复核</x:v>
      </x:c>
      <x:c r="K124" s="20" t="str"/>
      <x:c r="L124" s="20" t="str">
        <x:v>仅记录类型与是否存在，不存原值</x:v>
      </x:c>
    </x:row>
    <x:row r="125" ht="66" customHeight="1">
      <x:c r="A125" s="20" t="str">
        <x:v>SYN-013</x:v>
      </x:c>
      <x:c r="B125" s="20" t="str">
        <x:v>transaction.receipt</x:v>
      </x:c>
      <x:c r="C125" s="20" t="str">
        <x:v>交易收据</x:v>
      </x:c>
      <x:c r="D125" s="20" t="str">
        <x:v>YES</x:v>
      </x:c>
      <x:c r="E125" s="20" t="str">
        <x:v>YES</x:v>
      </x:c>
      <x:c r="F125" s="20" t="str">
        <x:v>SYNTHETIC_MERCHANT_SYSTEM</x:v>
      </x:c>
      <x:c r="G125" s="20" t="str">
        <x:v>SIMULATED</x:v>
      </x:c>
      <x:c r="H125" s="20" t="str">
        <x:v>YES</x:v>
      </x:c>
      <x:c r="I125" s="20" t="str">
        <x:v>证明交易金额、时间和商户主体</x:v>
      </x:c>
      <x:c r="J125" s="20" t="str"/>
      <x:c r="K125" s="20" t="str"/>
      <x:c r="L125" s="20" t="str">
        <x:v>仅记录类型与是否存在，不存原值</x:v>
      </x:c>
    </x:row>
    <x:row r="126" ht="66" customHeight="1">
      <x:c r="A126" s="20" t="str">
        <x:v>SYN-013</x:v>
      </x:c>
      <x:c r="B126" s="20" t="str">
        <x:v>billing.duplicate_check</x:v>
      </x:c>
      <x:c r="C126" s="20" t="str">
        <x:v>重复核查</x:v>
      </x:c>
      <x:c r="D126" s="20" t="str">
        <x:v>YES</x:v>
      </x:c>
      <x:c r="E126" s="20" t="str">
        <x:v>YES</x:v>
      </x:c>
      <x:c r="F126" s="20" t="str">
        <x:v>SYNTHETIC_MERCHANT_SYSTEM</x:v>
      </x:c>
      <x:c r="G126" s="20" t="str">
        <x:v>SIMULATED</x:v>
      </x:c>
      <x:c r="H126" s="20" t="str">
        <x:v>YES</x:v>
      </x:c>
      <x:c r="I126" s="20" t="str">
        <x:v>比对授权、捕获与订单是否重复</x:v>
      </x:c>
      <x:c r="J126" s="20" t="str"/>
      <x:c r="K126" s="20" t="str"/>
      <x:c r="L126" s="20" t="str">
        <x:v>仅记录类型与是否存在，不存原值</x:v>
      </x:c>
    </x:row>
    <x:row r="127" ht="66" customHeight="1">
      <x:c r="A127" s="20" t="str">
        <x:v>SYN-013</x:v>
      </x:c>
      <x:c r="B127" s="20" t="str">
        <x:v>history.prior_transactions</x:v>
      </x:c>
      <x:c r="C127" s="20" t="str">
        <x:v>历史交易</x:v>
      </x:c>
      <x:c r="D127" s="20" t="str">
        <x:v>YES</x:v>
      </x:c>
      <x:c r="E127" s="20" t="str">
        <x:v>YES</x:v>
      </x:c>
      <x:c r="F127" s="20" t="str">
        <x:v>SYNTHETIC_MERCHANT_SYSTEM</x:v>
      </x:c>
      <x:c r="G127" s="20" t="str">
        <x:v>SIMULATED</x:v>
      </x:c>
      <x:c r="H127" s="20" t="str">
        <x:v>CONTEXTUAL</x:v>
      </x:c>
      <x:c r="I127" s="20" t="str">
        <x:v>显示既往正常交易关系</x:v>
      </x:c>
      <x:c r="J127" s="20" t="str"/>
      <x:c r="K127" s="20" t="str"/>
      <x:c r="L127" s="20" t="str">
        <x:v>仅记录类型与是否存在，不存原值</x:v>
      </x:c>
    </x:row>
    <x:row r="128" ht="66" customHeight="1">
      <x:c r="A128" s="20" t="str">
        <x:v>SYN-014</x:v>
      </x:c>
      <x:c r="B128" s="20" t="str">
        <x:v>transaction.receipt</x:v>
      </x:c>
      <x:c r="C128" s="20" t="str">
        <x:v>交易收据</x:v>
      </x:c>
      <x:c r="D128" s="20" t="str">
        <x:v>YES</x:v>
      </x:c>
      <x:c r="E128" s="20" t="str">
        <x:v>YES</x:v>
      </x:c>
      <x:c r="F128" s="20" t="str">
        <x:v>SYNTHETIC_MERCHANT_SYSTEM</x:v>
      </x:c>
      <x:c r="G128" s="20" t="str">
        <x:v>SIMULATED</x:v>
      </x:c>
      <x:c r="H128" s="20" t="str">
        <x:v>YES</x:v>
      </x:c>
      <x:c r="I128" s="20" t="str">
        <x:v>证明交易金额、时间和商户主体</x:v>
      </x:c>
      <x:c r="J128" s="20" t="str"/>
      <x:c r="K128" s="20" t="str"/>
      <x:c r="L128" s="20" t="str">
        <x:v>仅记录类型与是否存在，不存原值</x:v>
      </x:c>
    </x:row>
    <x:row r="129" ht="66" customHeight="1">
      <x:c r="A129" s="20" t="str">
        <x:v>SYN-014</x:v>
      </x:c>
      <x:c r="B129" s="20" t="str">
        <x:v>billing.duplicate_check</x:v>
      </x:c>
      <x:c r="C129" s="20" t="str">
        <x:v>重复核查</x:v>
      </x:c>
      <x:c r="D129" s="20" t="str">
        <x:v>YES</x:v>
      </x:c>
      <x:c r="E129" s="20" t="str">
        <x:v>YES</x:v>
      </x:c>
      <x:c r="F129" s="20" t="str">
        <x:v>SYNTHETIC_MERCHANT_SYSTEM</x:v>
      </x:c>
      <x:c r="G129" s="20" t="str">
        <x:v>SIMULATED</x:v>
      </x:c>
      <x:c r="H129" s="20" t="str">
        <x:v>YES</x:v>
      </x:c>
      <x:c r="I129" s="20" t="str">
        <x:v>比对授权、捕获与订单是否重复</x:v>
      </x:c>
      <x:c r="J129" s="20" t="str"/>
      <x:c r="K129" s="20" t="str"/>
      <x:c r="L129" s="20" t="str">
        <x:v>仅记录类型与是否存在，不存原值</x:v>
      </x:c>
    </x:row>
    <x:row r="130" ht="66" customHeight="1">
      <x:c r="A130" s="20" t="str">
        <x:v>SYN-014</x:v>
      </x:c>
      <x:c r="B130" s="20" t="str">
        <x:v>history.prior_transactions</x:v>
      </x:c>
      <x:c r="C130" s="20" t="str">
        <x:v>历史交易</x:v>
      </x:c>
      <x:c r="D130" s="20" t="str">
        <x:v>YES</x:v>
      </x:c>
      <x:c r="E130" s="20" t="str">
        <x:v>NO_OR_NOT_DISCLOSED</x:v>
      </x:c>
      <x:c r="F130" s="20" t="str">
        <x:v>NOT_DISCLOSED</x:v>
      </x:c>
      <x:c r="G130" s="20" t="str">
        <x:v>UNKNOWN</x:v>
      </x:c>
      <x:c r="H130" s="20" t="str">
        <x:v>CONTEXTUAL</x:v>
      </x:c>
      <x:c r="I130" s="20" t="str">
        <x:v>显示既往正常交易关系</x:v>
      </x:c>
      <x:c r="J130" s="20" t="str">
        <x:v>可能降低可抗辩性或触发人工复核</x:v>
      </x:c>
      <x:c r="K130" s="20" t="str"/>
      <x:c r="L130" s="20" t="str">
        <x:v>仅记录类型与是否存在，不存原值</x:v>
      </x:c>
    </x:row>
    <x:row r="131" ht="66" customHeight="1">
      <x:c r="A131" s="20" t="str">
        <x:v>SYN-015</x:v>
      </x:c>
      <x:c r="B131" s="20" t="str">
        <x:v>transaction.receipt</x:v>
      </x:c>
      <x:c r="C131" s="20" t="str">
        <x:v>交易收据</x:v>
      </x:c>
      <x:c r="D131" s="20" t="str">
        <x:v>YES</x:v>
      </x:c>
      <x:c r="E131" s="20" t="str">
        <x:v>YES</x:v>
      </x:c>
      <x:c r="F131" s="20" t="str">
        <x:v>SYNTHETIC_MERCHANT_SYSTEM</x:v>
      </x:c>
      <x:c r="G131" s="20" t="str">
        <x:v>SIMULATED</x:v>
      </x:c>
      <x:c r="H131" s="20" t="str">
        <x:v>YES</x:v>
      </x:c>
      <x:c r="I131" s="20" t="str">
        <x:v>证明交易金额、时间和商户主体</x:v>
      </x:c>
      <x:c r="J131" s="20" t="str"/>
      <x:c r="K131" s="20" t="str"/>
      <x:c r="L131" s="20" t="str">
        <x:v>仅记录类型与是否存在，不存原值</x:v>
      </x:c>
    </x:row>
    <x:row r="132" ht="66" customHeight="1">
      <x:c r="A132" s="20" t="str">
        <x:v>SYN-015</x:v>
      </x:c>
      <x:c r="B132" s="20" t="str">
        <x:v>billing.duplicate_check</x:v>
      </x:c>
      <x:c r="C132" s="20" t="str">
        <x:v>重复核查</x:v>
      </x:c>
      <x:c r="D132" s="20" t="str">
        <x:v>YES</x:v>
      </x:c>
      <x:c r="E132" s="20" t="str">
        <x:v>YES</x:v>
      </x:c>
      <x:c r="F132" s="20" t="str">
        <x:v>SYNTHETIC_MERCHANT_SYSTEM</x:v>
      </x:c>
      <x:c r="G132" s="20" t="str">
        <x:v>SIMULATED</x:v>
      </x:c>
      <x:c r="H132" s="20" t="str">
        <x:v>YES</x:v>
      </x:c>
      <x:c r="I132" s="20" t="str">
        <x:v>比对授权、捕获与订单是否重复</x:v>
      </x:c>
      <x:c r="J132" s="20" t="str"/>
      <x:c r="K132" s="20" t="str"/>
      <x:c r="L132" s="20" t="str">
        <x:v>仅记录类型与是否存在，不存原值</x:v>
      </x:c>
    </x:row>
    <x:row r="133" ht="66" customHeight="1">
      <x:c r="A133" s="20" t="str">
        <x:v>SYN-015</x:v>
      </x:c>
      <x:c r="B133" s="20" t="str">
        <x:v>history.prior_transactions</x:v>
      </x:c>
      <x:c r="C133" s="20" t="str">
        <x:v>历史交易</x:v>
      </x:c>
      <x:c r="D133" s="20" t="str">
        <x:v>YES</x:v>
      </x:c>
      <x:c r="E133" s="20" t="str">
        <x:v>YES</x:v>
      </x:c>
      <x:c r="F133" s="20" t="str">
        <x:v>SYNTHETIC_MERCHANT_SYSTEM</x:v>
      </x:c>
      <x:c r="G133" s="20" t="str">
        <x:v>SIMULATED</x:v>
      </x:c>
      <x:c r="H133" s="20" t="str">
        <x:v>CONTEXTUAL</x:v>
      </x:c>
      <x:c r="I133" s="20" t="str">
        <x:v>显示既往正常交易关系</x:v>
      </x:c>
      <x:c r="J133" s="20" t="str"/>
      <x:c r="K133" s="20" t="str"/>
      <x:c r="L133" s="20" t="str">
        <x:v>仅记录类型与是否存在，不存原值</x:v>
      </x:c>
    </x:row>
    <x:row r="134" ht="66" customHeight="1">
      <x:c r="A134" s="20" t="str">
        <x:v>SYN-016</x:v>
      </x:c>
      <x:c r="B134" s="20" t="str">
        <x:v>transaction.receipt</x:v>
      </x:c>
      <x:c r="C134" s="20" t="str">
        <x:v>交易收据</x:v>
      </x:c>
      <x:c r="D134" s="20" t="str">
        <x:v>YES</x:v>
      </x:c>
      <x:c r="E134" s="20" t="str">
        <x:v>YES</x:v>
      </x:c>
      <x:c r="F134" s="20" t="str">
        <x:v>SYNTHETIC_MERCHANT_SYSTEM</x:v>
      </x:c>
      <x:c r="G134" s="20" t="str">
        <x:v>SIMULATED</x:v>
      </x:c>
      <x:c r="H134" s="20" t="str">
        <x:v>YES</x:v>
      </x:c>
      <x:c r="I134" s="20" t="str">
        <x:v>证明交易金额、时间和商户主体</x:v>
      </x:c>
      <x:c r="J134" s="20" t="str"/>
      <x:c r="K134" s="20" t="str"/>
      <x:c r="L134" s="20" t="str">
        <x:v>仅记录类型与是否存在，不存原值</x:v>
      </x:c>
    </x:row>
    <x:row r="135" ht="66" customHeight="1">
      <x:c r="A135" s="20" t="str">
        <x:v>SYN-016</x:v>
      </x:c>
      <x:c r="B135" s="20" t="str">
        <x:v>billing.refund_record</x:v>
      </x:c>
      <x:c r="C135" s="20" t="str">
        <x:v>退款记录</x:v>
      </x:c>
      <x:c r="D135" s="20" t="str">
        <x:v>YES</x:v>
      </x:c>
      <x:c r="E135" s="20" t="str">
        <x:v>YES</x:v>
      </x:c>
      <x:c r="F135" s="20" t="str">
        <x:v>SYNTHETIC_MERCHANT_SYSTEM</x:v>
      </x:c>
      <x:c r="G135" s="20" t="str">
        <x:v>SIMULATED</x:v>
      </x:c>
      <x:c r="H135" s="20" t="str">
        <x:v>YES</x:v>
      </x:c>
      <x:c r="I135" s="20" t="str">
        <x:v>证明退款发起、金额、时间与状态</x:v>
      </x:c>
      <x:c r="J135" s="20" t="str"/>
      <x:c r="K135" s="20" t="str"/>
      <x:c r="L135" s="20" t="str">
        <x:v>仅记录类型与是否存在，不存原值</x:v>
      </x:c>
    </x:row>
    <x:row r="136" ht="66" customHeight="1">
      <x:c r="A136" s="20" t="str">
        <x:v>SYN-016</x:v>
      </x:c>
      <x:c r="B136" s="20" t="str">
        <x:v>policy.terms_refund</x:v>
      </x:c>
      <x:c r="C136" s="20" t="str">
        <x:v>条款与退款政策</x:v>
      </x:c>
      <x:c r="D136" s="20" t="str">
        <x:v>YES</x:v>
      </x:c>
      <x:c r="E136" s="20" t="str">
        <x:v>YES</x:v>
      </x:c>
      <x:c r="F136" s="20" t="str">
        <x:v>SYNTHETIC_MERCHANT_SYSTEM</x:v>
      </x:c>
      <x:c r="G136" s="20" t="str">
        <x:v>SIMULATED</x:v>
      </x:c>
      <x:c r="H136" s="20" t="str">
        <x:v>CONTEXTUAL</x:v>
      </x:c>
      <x:c r="I136" s="20" t="str">
        <x:v>证明交易时披露并同意的规则</x:v>
      </x:c>
      <x:c r="J136" s="20" t="str"/>
      <x:c r="K136" s="20" t="str"/>
      <x:c r="L136" s="20" t="str">
        <x:v>仅记录类型与是否存在，不存原值</x:v>
      </x:c>
    </x:row>
    <x:row r="137" ht="66" customHeight="1">
      <x:c r="A137" s="20" t="str">
        <x:v>SYN-016</x:v>
      </x:c>
      <x:c r="B137" s="20" t="str">
        <x:v>comms.customer</x:v>
      </x:c>
      <x:c r="C137" s="20" t="str">
        <x:v>客户沟通</x:v>
      </x:c>
      <x:c r="D137" s="20" t="str">
        <x:v>YES</x:v>
      </x:c>
      <x:c r="E137" s="20" t="str">
        <x:v>YES</x:v>
      </x:c>
      <x:c r="F137" s="20" t="str">
        <x:v>SYNTHETIC_MERCHANT_SYSTEM</x:v>
      </x:c>
      <x:c r="G137" s="20" t="str">
        <x:v>SIMULATED</x:v>
      </x:c>
      <x:c r="H137" s="20" t="str">
        <x:v>CONTEXTUAL</x:v>
      </x:c>
      <x:c r="I137" s="20" t="str">
        <x:v>还原投诉、补救与时间线</x:v>
      </x:c>
      <x:c r="J137" s="20" t="str"/>
      <x:c r="K137" s="20" t="str"/>
      <x:c r="L137" s="20" t="str">
        <x:v>仅记录类型与是否存在，不存原值</x:v>
      </x:c>
    </x:row>
    <x:row r="138" ht="66" customHeight="1">
      <x:c r="A138" s="20" t="str">
        <x:v>SYN-017</x:v>
      </x:c>
      <x:c r="B138" s="20" t="str">
        <x:v>transaction.receipt</x:v>
      </x:c>
      <x:c r="C138" s="20" t="str">
        <x:v>交易收据</x:v>
      </x:c>
      <x:c r="D138" s="20" t="str">
        <x:v>YES</x:v>
      </x:c>
      <x:c r="E138" s="20" t="str">
        <x:v>YES</x:v>
      </x:c>
      <x:c r="F138" s="20" t="str">
        <x:v>SYNTHETIC_MERCHANT_SYSTEM</x:v>
      </x:c>
      <x:c r="G138" s="20" t="str">
        <x:v>SIMULATED</x:v>
      </x:c>
      <x:c r="H138" s="20" t="str">
        <x:v>YES</x:v>
      </x:c>
      <x:c r="I138" s="20" t="str">
        <x:v>证明交易金额、时间和商户主体</x:v>
      </x:c>
      <x:c r="J138" s="20" t="str"/>
      <x:c r="K138" s="20" t="str"/>
      <x:c r="L138" s="20" t="str">
        <x:v>仅记录类型与是否存在，不存原值</x:v>
      </x:c>
    </x:row>
    <x:row r="139" ht="66" customHeight="1">
      <x:c r="A139" s="20" t="str">
        <x:v>SYN-017</x:v>
      </x:c>
      <x:c r="B139" s="20" t="str">
        <x:v>billing.refund_record</x:v>
      </x:c>
      <x:c r="C139" s="20" t="str">
        <x:v>退款记录</x:v>
      </x:c>
      <x:c r="D139" s="20" t="str">
        <x:v>YES</x:v>
      </x:c>
      <x:c r="E139" s="20" t="str">
        <x:v>YES</x:v>
      </x:c>
      <x:c r="F139" s="20" t="str">
        <x:v>SYNTHETIC_MERCHANT_SYSTEM</x:v>
      </x:c>
      <x:c r="G139" s="20" t="str">
        <x:v>SIMULATED</x:v>
      </x:c>
      <x:c r="H139" s="20" t="str">
        <x:v>YES</x:v>
      </x:c>
      <x:c r="I139" s="20" t="str">
        <x:v>证明退款发起、金额、时间与状态</x:v>
      </x:c>
      <x:c r="J139" s="20" t="str"/>
      <x:c r="K139" s="20" t="str"/>
      <x:c r="L139" s="20" t="str">
        <x:v>仅记录类型与是否存在，不存原值</x:v>
      </x:c>
    </x:row>
    <x:row r="140" ht="66" customHeight="1">
      <x:c r="A140" s="20" t="str">
        <x:v>SYN-017</x:v>
      </x:c>
      <x:c r="B140" s="20" t="str">
        <x:v>policy.terms_refund</x:v>
      </x:c>
      <x:c r="C140" s="20" t="str">
        <x:v>条款与退款政策</x:v>
      </x:c>
      <x:c r="D140" s="20" t="str">
        <x:v>YES</x:v>
      </x:c>
      <x:c r="E140" s="20" t="str">
        <x:v>NO_OR_NOT_DISCLOSED</x:v>
      </x:c>
      <x:c r="F140" s="20" t="str">
        <x:v>NOT_DISCLOSED</x:v>
      </x:c>
      <x:c r="G140" s="20" t="str">
        <x:v>UNKNOWN</x:v>
      </x:c>
      <x:c r="H140" s="20" t="str">
        <x:v>CONTEXTUAL</x:v>
      </x:c>
      <x:c r="I140" s="20" t="str">
        <x:v>证明交易时披露并同意的规则</x:v>
      </x:c>
      <x:c r="J140" s="20" t="str">
        <x:v>可能降低可抗辩性或触发人工复核</x:v>
      </x:c>
      <x:c r="K140" s="20" t="str"/>
      <x:c r="L140" s="20" t="str">
        <x:v>仅记录类型与是否存在，不存原值</x:v>
      </x:c>
    </x:row>
    <x:row r="141" ht="66" customHeight="1">
      <x:c r="A141" s="20" t="str">
        <x:v>SYN-017</x:v>
      </x:c>
      <x:c r="B141" s="20" t="str">
        <x:v>comms.customer</x:v>
      </x:c>
      <x:c r="C141" s="20" t="str">
        <x:v>客户沟通</x:v>
      </x:c>
      <x:c r="D141" s="20" t="str">
        <x:v>YES</x:v>
      </x:c>
      <x:c r="E141" s="20" t="str">
        <x:v>YES</x:v>
      </x:c>
      <x:c r="F141" s="20" t="str">
        <x:v>SYNTHETIC_MERCHANT_SYSTEM</x:v>
      </x:c>
      <x:c r="G141" s="20" t="str">
        <x:v>SIMULATED</x:v>
      </x:c>
      <x:c r="H141" s="20" t="str">
        <x:v>CONTEXTUAL</x:v>
      </x:c>
      <x:c r="I141" s="20" t="str">
        <x:v>还原投诉、补救与时间线</x:v>
      </x:c>
      <x:c r="J141" s="20" t="str"/>
      <x:c r="K141" s="20" t="str"/>
      <x:c r="L141" s="20" t="str">
        <x:v>仅记录类型与是否存在，不存原值</x:v>
      </x:c>
    </x:row>
    <x:row r="142" ht="66" customHeight="1">
      <x:c r="A142" s="20" t="str">
        <x:v>SYN-018</x:v>
      </x:c>
      <x:c r="B142" s="20" t="str">
        <x:v>transaction.receipt</x:v>
      </x:c>
      <x:c r="C142" s="20" t="str">
        <x:v>交易收据</x:v>
      </x:c>
      <x:c r="D142" s="20" t="str">
        <x:v>YES</x:v>
      </x:c>
      <x:c r="E142" s="20" t="str">
        <x:v>YES</x:v>
      </x:c>
      <x:c r="F142" s="20" t="str">
        <x:v>SYNTHETIC_MERCHANT_SYSTEM</x:v>
      </x:c>
      <x:c r="G142" s="20" t="str">
        <x:v>SIMULATED</x:v>
      </x:c>
      <x:c r="H142" s="20" t="str">
        <x:v>YES</x:v>
      </x:c>
      <x:c r="I142" s="20" t="str">
        <x:v>证明交易金额、时间和商户主体</x:v>
      </x:c>
      <x:c r="J142" s="20" t="str"/>
      <x:c r="K142" s="20" t="str"/>
      <x:c r="L142" s="20" t="str">
        <x:v>仅记录类型与是否存在，不存原值</x:v>
      </x:c>
    </x:row>
    <x:row r="143" ht="66" customHeight="1">
      <x:c r="A143" s="20" t="str">
        <x:v>SYN-018</x:v>
      </x:c>
      <x:c r="B143" s="20" t="str">
        <x:v>billing.refund_record</x:v>
      </x:c>
      <x:c r="C143" s="20" t="str">
        <x:v>退款记录</x:v>
      </x:c>
      <x:c r="D143" s="20" t="str">
        <x:v>YES</x:v>
      </x:c>
      <x:c r="E143" s="20" t="str">
        <x:v>YES</x:v>
      </x:c>
      <x:c r="F143" s="20" t="str">
        <x:v>SYNTHETIC_MERCHANT_SYSTEM</x:v>
      </x:c>
      <x:c r="G143" s="20" t="str">
        <x:v>SIMULATED</x:v>
      </x:c>
      <x:c r="H143" s="20" t="str">
        <x:v>YES</x:v>
      </x:c>
      <x:c r="I143" s="20" t="str">
        <x:v>证明退款发起、金额、时间与状态</x:v>
      </x:c>
      <x:c r="J143" s="20" t="str"/>
      <x:c r="K143" s="20" t="str"/>
      <x:c r="L143" s="20" t="str">
        <x:v>仅记录类型与是否存在，不存原值</x:v>
      </x:c>
    </x:row>
    <x:row r="144" ht="66" customHeight="1">
      <x:c r="A144" s="20" t="str">
        <x:v>SYN-018</x:v>
      </x:c>
      <x:c r="B144" s="20" t="str">
        <x:v>policy.terms_refund</x:v>
      </x:c>
      <x:c r="C144" s="20" t="str">
        <x:v>条款与退款政策</x:v>
      </x:c>
      <x:c r="D144" s="20" t="str">
        <x:v>YES</x:v>
      </x:c>
      <x:c r="E144" s="20" t="str">
        <x:v>YES</x:v>
      </x:c>
      <x:c r="F144" s="20" t="str">
        <x:v>SYNTHETIC_MERCHANT_SYSTEM</x:v>
      </x:c>
      <x:c r="G144" s="20" t="str">
        <x:v>SIMULATED</x:v>
      </x:c>
      <x:c r="H144" s="20" t="str">
        <x:v>CONTEXTUAL</x:v>
      </x:c>
      <x:c r="I144" s="20" t="str">
        <x:v>证明交易时披露并同意的规则</x:v>
      </x:c>
      <x:c r="J144" s="20" t="str"/>
      <x:c r="K144" s="20" t="str"/>
      <x:c r="L144" s="20" t="str">
        <x:v>仅记录类型与是否存在，不存原值</x:v>
      </x:c>
    </x:row>
    <x:row r="145" ht="66" customHeight="1">
      <x:c r="A145" s="20" t="str">
        <x:v>SYN-018</x:v>
      </x:c>
      <x:c r="B145" s="20" t="str">
        <x:v>comms.customer</x:v>
      </x:c>
      <x:c r="C145" s="20" t="str">
        <x:v>客户沟通</x:v>
      </x:c>
      <x:c r="D145" s="20" t="str">
        <x:v>YES</x:v>
      </x:c>
      <x:c r="E145" s="20" t="str">
        <x:v>YES</x:v>
      </x:c>
      <x:c r="F145" s="20" t="str">
        <x:v>SYNTHETIC_MERCHANT_SYSTEM</x:v>
      </x:c>
      <x:c r="G145" s="20" t="str">
        <x:v>SIMULATED</x:v>
      </x:c>
      <x:c r="H145" s="20" t="str">
        <x:v>CONTEXTUAL</x:v>
      </x:c>
      <x:c r="I145" s="20" t="str">
        <x:v>还原投诉、补救与时间线</x:v>
      </x:c>
      <x:c r="J145" s="20" t="str"/>
      <x:c r="K145" s="20" t="str"/>
      <x:c r="L145" s="20" t="str">
        <x:v>仅记录类型与是否存在，不存原值</x:v>
      </x:c>
    </x:row>
    <x:row r="146" ht="66" customHeight="1">
      <x:c r="A146" s="20" t="str">
        <x:v>SYN-019</x:v>
      </x:c>
      <x:c r="B146" s="20" t="str">
        <x:v>transaction.receipt</x:v>
      </x:c>
      <x:c r="C146" s="20" t="str">
        <x:v>交易收据</x:v>
      </x:c>
      <x:c r="D146" s="20" t="str">
        <x:v>YES</x:v>
      </x:c>
      <x:c r="E146" s="20" t="str">
        <x:v>YES</x:v>
      </x:c>
      <x:c r="F146" s="20" t="str">
        <x:v>SYNTHETIC_MERCHANT_SYSTEM</x:v>
      </x:c>
      <x:c r="G146" s="20" t="str">
        <x:v>SIMULATED</x:v>
      </x:c>
      <x:c r="H146" s="20" t="str">
        <x:v>YES</x:v>
      </x:c>
      <x:c r="I146" s="20" t="str">
        <x:v>证明交易金额、时间和商户主体</x:v>
      </x:c>
      <x:c r="J146" s="20" t="str"/>
      <x:c r="K146" s="20" t="str"/>
      <x:c r="L146" s="20" t="str">
        <x:v>仅记录类型与是否存在，不存原值</x:v>
      </x:c>
    </x:row>
    <x:row r="147" ht="66" customHeight="1">
      <x:c r="A147" s="20" t="str">
        <x:v>SYN-019</x:v>
      </x:c>
      <x:c r="B147" s="20" t="str">
        <x:v>subscription.cancellation_record</x:v>
      </x:c>
      <x:c r="C147" s="20" t="str">
        <x:v>取消记录</x:v>
      </x:c>
      <x:c r="D147" s="20" t="str">
        <x:v>YES</x:v>
      </x:c>
      <x:c r="E147" s="20" t="str">
        <x:v>YES</x:v>
      </x:c>
      <x:c r="F147" s="20" t="str">
        <x:v>SYNTHETIC_MERCHANT_SYSTEM</x:v>
      </x:c>
      <x:c r="G147" s="20" t="str">
        <x:v>SIMULATED</x:v>
      </x:c>
      <x:c r="H147" s="20" t="str">
        <x:v>YES</x:v>
      </x:c>
      <x:c r="I147" s="20" t="str">
        <x:v>界定取消与扣款先后</x:v>
      </x:c>
      <x:c r="J147" s="20" t="str"/>
      <x:c r="K147" s="20" t="str"/>
      <x:c r="L147" s="20" t="str">
        <x:v>仅记录类型与是否存在，不存原值</x:v>
      </x:c>
    </x:row>
    <x:row r="148" ht="66" customHeight="1">
      <x:c r="A148" s="20" t="str">
        <x:v>SYN-019</x:v>
      </x:c>
      <x:c r="B148" s="20" t="str">
        <x:v>policy.terms_refund</x:v>
      </x:c>
      <x:c r="C148" s="20" t="str">
        <x:v>条款与退款政策</x:v>
      </x:c>
      <x:c r="D148" s="20" t="str">
        <x:v>YES</x:v>
      </x:c>
      <x:c r="E148" s="20" t="str">
        <x:v>YES</x:v>
      </x:c>
      <x:c r="F148" s="20" t="str">
        <x:v>SYNTHETIC_MERCHANT_SYSTEM</x:v>
      </x:c>
      <x:c r="G148" s="20" t="str">
        <x:v>SIMULATED</x:v>
      </x:c>
      <x:c r="H148" s="20" t="str">
        <x:v>CONTEXTUAL</x:v>
      </x:c>
      <x:c r="I148" s="20" t="str">
        <x:v>证明交易时披露并同意的规则</x:v>
      </x:c>
      <x:c r="J148" s="20" t="str"/>
      <x:c r="K148" s="20" t="str"/>
      <x:c r="L148" s="20" t="str">
        <x:v>仅记录类型与是否存在，不存原值</x:v>
      </x:c>
    </x:row>
    <x:row r="149" ht="66" customHeight="1">
      <x:c r="A149" s="20" t="str">
        <x:v>SYN-019</x:v>
      </x:c>
      <x:c r="B149" s="20" t="str">
        <x:v>comms.customer</x:v>
      </x:c>
      <x:c r="C149" s="20" t="str">
        <x:v>客户沟通</x:v>
      </x:c>
      <x:c r="D149" s="20" t="str">
        <x:v>YES</x:v>
      </x:c>
      <x:c r="E149" s="20" t="str">
        <x:v>YES</x:v>
      </x:c>
      <x:c r="F149" s="20" t="str">
        <x:v>SYNTHETIC_MERCHANT_SYSTEM</x:v>
      </x:c>
      <x:c r="G149" s="20" t="str">
        <x:v>SIMULATED</x:v>
      </x:c>
      <x:c r="H149" s="20" t="str">
        <x:v>CONTEXTUAL</x:v>
      </x:c>
      <x:c r="I149" s="20" t="str">
        <x:v>还原投诉、补救与时间线</x:v>
      </x:c>
      <x:c r="J149" s="20" t="str"/>
      <x:c r="K149" s="20" t="str"/>
      <x:c r="L149" s="20" t="str">
        <x:v>仅记录类型与是否存在，不存原值</x:v>
      </x:c>
    </x:row>
    <x:row r="150" ht="66" customHeight="1">
      <x:c r="A150" s="20" t="str">
        <x:v>SYN-020</x:v>
      </x:c>
      <x:c r="B150" s="20" t="str">
        <x:v>transaction.receipt</x:v>
      </x:c>
      <x:c r="C150" s="20" t="str">
        <x:v>交易收据</x:v>
      </x:c>
      <x:c r="D150" s="20" t="str">
        <x:v>YES</x:v>
      </x:c>
      <x:c r="E150" s="20" t="str">
        <x:v>YES</x:v>
      </x:c>
      <x:c r="F150" s="20" t="str">
        <x:v>SYNTHETIC_MERCHANT_SYSTEM</x:v>
      </x:c>
      <x:c r="G150" s="20" t="str">
        <x:v>SIMULATED</x:v>
      </x:c>
      <x:c r="H150" s="20" t="str">
        <x:v>YES</x:v>
      </x:c>
      <x:c r="I150" s="20" t="str">
        <x:v>证明交易金额、时间和商户主体</x:v>
      </x:c>
      <x:c r="J150" s="20" t="str"/>
      <x:c r="K150" s="20" t="str"/>
      <x:c r="L150" s="20" t="str">
        <x:v>仅记录类型与是否存在，不存原值</x:v>
      </x:c>
    </x:row>
    <x:row r="151" ht="66" customHeight="1">
      <x:c r="A151" s="20" t="str">
        <x:v>SYN-020</x:v>
      </x:c>
      <x:c r="B151" s="20" t="str">
        <x:v>subscription.cancellation_record</x:v>
      </x:c>
      <x:c r="C151" s="20" t="str">
        <x:v>取消记录</x:v>
      </x:c>
      <x:c r="D151" s="20" t="str">
        <x:v>YES</x:v>
      </x:c>
      <x:c r="E151" s="20" t="str">
        <x:v>YES</x:v>
      </x:c>
      <x:c r="F151" s="20" t="str">
        <x:v>SYNTHETIC_MERCHANT_SYSTEM</x:v>
      </x:c>
      <x:c r="G151" s="20" t="str">
        <x:v>SIMULATED</x:v>
      </x:c>
      <x:c r="H151" s="20" t="str">
        <x:v>YES</x:v>
      </x:c>
      <x:c r="I151" s="20" t="str">
        <x:v>界定取消与扣款先后</x:v>
      </x:c>
      <x:c r="J151" s="20" t="str"/>
      <x:c r="K151" s="20" t="str"/>
      <x:c r="L151" s="20" t="str">
        <x:v>仅记录类型与是否存在，不存原值</x:v>
      </x:c>
    </x:row>
    <x:row r="152" ht="66" customHeight="1">
      <x:c r="A152" s="20" t="str">
        <x:v>SYN-020</x:v>
      </x:c>
      <x:c r="B152" s="20" t="str">
        <x:v>policy.terms_refund</x:v>
      </x:c>
      <x:c r="C152" s="20" t="str">
        <x:v>条款与退款政策</x:v>
      </x:c>
      <x:c r="D152" s="20" t="str">
        <x:v>YES</x:v>
      </x:c>
      <x:c r="E152" s="20" t="str">
        <x:v>NO_OR_NOT_DISCLOSED</x:v>
      </x:c>
      <x:c r="F152" s="20" t="str">
        <x:v>NOT_DISCLOSED</x:v>
      </x:c>
      <x:c r="G152" s="20" t="str">
        <x:v>UNKNOWN</x:v>
      </x:c>
      <x:c r="H152" s="20" t="str">
        <x:v>CONTEXTUAL</x:v>
      </x:c>
      <x:c r="I152" s="20" t="str">
        <x:v>证明交易时披露并同意的规则</x:v>
      </x:c>
      <x:c r="J152" s="20" t="str">
        <x:v>可能降低可抗辩性或触发人工复核</x:v>
      </x:c>
      <x:c r="K152" s="20" t="str"/>
      <x:c r="L152" s="20" t="str">
        <x:v>仅记录类型与是否存在，不存原值</x:v>
      </x:c>
    </x:row>
    <x:row r="153" ht="66" customHeight="1">
      <x:c r="A153" s="20" t="str">
        <x:v>SYN-020</x:v>
      </x:c>
      <x:c r="B153" s="20" t="str">
        <x:v>comms.customer</x:v>
      </x:c>
      <x:c r="C153" s="20" t="str">
        <x:v>客户沟通</x:v>
      </x:c>
      <x:c r="D153" s="20" t="str">
        <x:v>YES</x:v>
      </x:c>
      <x:c r="E153" s="20" t="str">
        <x:v>YES</x:v>
      </x:c>
      <x:c r="F153" s="20" t="str">
        <x:v>SYNTHETIC_MERCHANT_SYSTEM</x:v>
      </x:c>
      <x:c r="G153" s="20" t="str">
        <x:v>SIMULATED</x:v>
      </x:c>
      <x:c r="H153" s="20" t="str">
        <x:v>CONTEXTUAL</x:v>
      </x:c>
      <x:c r="I153" s="20" t="str">
        <x:v>还原投诉、补救与时间线</x:v>
      </x:c>
      <x:c r="J153" s="20" t="str"/>
      <x:c r="K153" s="20" t="str"/>
      <x:c r="L153" s="20" t="str">
        <x:v>仅记录类型与是否存在，不存原值</x:v>
      </x:c>
    </x:row>
    <x:row r="154" ht="66" customHeight="1">
      <x:c r="A154" s="20" t="str">
        <x:v>SYN-021</x:v>
      </x:c>
      <x:c r="B154" s="20" t="str">
        <x:v>transaction.receipt</x:v>
      </x:c>
      <x:c r="C154" s="20" t="str">
        <x:v>交易收据</x:v>
      </x:c>
      <x:c r="D154" s="20" t="str">
        <x:v>YES</x:v>
      </x:c>
      <x:c r="E154" s="20" t="str">
        <x:v>YES</x:v>
      </x:c>
      <x:c r="F154" s="20" t="str">
        <x:v>SYNTHETIC_MERCHANT_SYSTEM</x:v>
      </x:c>
      <x:c r="G154" s="20" t="str">
        <x:v>SIMULATED</x:v>
      </x:c>
      <x:c r="H154" s="20" t="str">
        <x:v>YES</x:v>
      </x:c>
      <x:c r="I154" s="20" t="str">
        <x:v>证明交易金额、时间和商户主体</x:v>
      </x:c>
      <x:c r="J154" s="20" t="str"/>
      <x:c r="K154" s="20" t="str"/>
      <x:c r="L154" s="20" t="str">
        <x:v>仅记录类型与是否存在，不存原值</x:v>
      </x:c>
    </x:row>
    <x:row r="155" ht="66" customHeight="1">
      <x:c r="A155" s="20" t="str">
        <x:v>SYN-021</x:v>
      </x:c>
      <x:c r="B155" s="20" t="str">
        <x:v>subscription.cancellation_record</x:v>
      </x:c>
      <x:c r="C155" s="20" t="str">
        <x:v>取消记录</x:v>
      </x:c>
      <x:c r="D155" s="20" t="str">
        <x:v>YES</x:v>
      </x:c>
      <x:c r="E155" s="20" t="str">
        <x:v>NO_OR_NOT_DISCLOSED</x:v>
      </x:c>
      <x:c r="F155" s="20" t="str">
        <x:v>NOT_DISCLOSED</x:v>
      </x:c>
      <x:c r="G155" s="20" t="str">
        <x:v>UNKNOWN</x:v>
      </x:c>
      <x:c r="H155" s="20" t="str">
        <x:v>YES</x:v>
      </x:c>
      <x:c r="I155" s="20" t="str">
        <x:v>界定取消与扣款先后</x:v>
      </x:c>
      <x:c r="J155" s="20" t="str">
        <x:v>可能降低可抗辩性或触发人工复核</x:v>
      </x:c>
      <x:c r="K155" s="20" t="str"/>
      <x:c r="L155" s="20" t="str">
        <x:v>仅记录类型与是否存在，不存原值</x:v>
      </x:c>
    </x:row>
    <x:row r="156" ht="66" customHeight="1">
      <x:c r="A156" s="20" t="str">
        <x:v>SYN-021</x:v>
      </x:c>
      <x:c r="B156" s="20" t="str">
        <x:v>policy.terms_refund</x:v>
      </x:c>
      <x:c r="C156" s="20" t="str">
        <x:v>条款与退款政策</x:v>
      </x:c>
      <x:c r="D156" s="20" t="str">
        <x:v>YES</x:v>
      </x:c>
      <x:c r="E156" s="20" t="str">
        <x:v>YES</x:v>
      </x:c>
      <x:c r="F156" s="20" t="str">
        <x:v>SYNTHETIC_MERCHANT_SYSTEM</x:v>
      </x:c>
      <x:c r="G156" s="20" t="str">
        <x:v>SIMULATED</x:v>
      </x:c>
      <x:c r="H156" s="20" t="str">
        <x:v>CONTEXTUAL</x:v>
      </x:c>
      <x:c r="I156" s="20" t="str">
        <x:v>证明交易时披露并同意的规则</x:v>
      </x:c>
      <x:c r="J156" s="20" t="str"/>
      <x:c r="K156" s="20" t="str"/>
      <x:c r="L156" s="20" t="str">
        <x:v>仅记录类型与是否存在，不存原值</x:v>
      </x:c>
    </x:row>
    <x:row r="157" ht="66" customHeight="1">
      <x:c r="A157" s="20" t="str">
        <x:v>SYN-021</x:v>
      </x:c>
      <x:c r="B157" s="20" t="str">
        <x:v>comms.customer</x:v>
      </x:c>
      <x:c r="C157" s="20" t="str">
        <x:v>客户沟通</x:v>
      </x:c>
      <x:c r="D157" s="20" t="str">
        <x:v>YES</x:v>
      </x:c>
      <x:c r="E157" s="20" t="str">
        <x:v>YES</x:v>
      </x:c>
      <x:c r="F157" s="20" t="str">
        <x:v>SYNTHETIC_MERCHANT_SYSTEM</x:v>
      </x:c>
      <x:c r="G157" s="20" t="str">
        <x:v>SIMULATED</x:v>
      </x:c>
      <x:c r="H157" s="20" t="str">
        <x:v>CONTEXTUAL</x:v>
      </x:c>
      <x:c r="I157" s="20" t="str">
        <x:v>还原投诉、补救与时间线</x:v>
      </x:c>
      <x:c r="J157" s="20" t="str"/>
      <x:c r="K157" s="20" t="str"/>
      <x:c r="L157" s="20" t="str">
        <x:v>仅记录类型与是否存在，不存原值</x:v>
      </x:c>
    </x:row>
    <x:row r="158" ht="66" customHeight="1">
      <x:c r="A158" s="20" t="str">
        <x:v>SYN-022</x:v>
      </x:c>
      <x:c r="B158" s="20" t="str">
        <x:v>transaction.receipt</x:v>
      </x:c>
      <x:c r="C158" s="20" t="str">
        <x:v>交易收据</x:v>
      </x:c>
      <x:c r="D158" s="20" t="str">
        <x:v>YES</x:v>
      </x:c>
      <x:c r="E158" s="20" t="str">
        <x:v>YES</x:v>
      </x:c>
      <x:c r="F158" s="20" t="str">
        <x:v>SYNTHETIC_MERCHANT_SYSTEM</x:v>
      </x:c>
      <x:c r="G158" s="20" t="str">
        <x:v>SIMULATED</x:v>
      </x:c>
      <x:c r="H158" s="20" t="str">
        <x:v>YES</x:v>
      </x:c>
      <x:c r="I158" s="20" t="str">
        <x:v>证明交易金额、时间和商户主体</x:v>
      </x:c>
      <x:c r="J158" s="20" t="str"/>
      <x:c r="K158" s="20" t="str"/>
      <x:c r="L158" s="20" t="str">
        <x:v>仅记录类型与是否存在，不存原值</x:v>
      </x:c>
    </x:row>
    <x:row r="159" ht="66" customHeight="1">
      <x:c r="A159" s="20" t="str">
        <x:v>SYN-022</x:v>
      </x:c>
      <x:c r="B159" s="20" t="str">
        <x:v>auth.avs_result</x:v>
      </x:c>
      <x:c r="C159" s="20" t="str">
        <x:v>AVS结果</x:v>
      </x:c>
      <x:c r="D159" s="20" t="str">
        <x:v>YES</x:v>
      </x:c>
      <x:c r="E159" s="20" t="str">
        <x:v>YES</x:v>
      </x:c>
      <x:c r="F159" s="20" t="str">
        <x:v>SYNTHETIC_MERCHANT_SYSTEM</x:v>
      </x:c>
      <x:c r="G159" s="20" t="str">
        <x:v>SIMULATED</x:v>
      </x:c>
      <x:c r="H159" s="20" t="str">
        <x:v>CONTEXTUAL</x:v>
      </x:c>
      <x:c r="I159" s="20" t="str">
        <x:v>核对账单地址验证结果</x:v>
      </x:c>
      <x:c r="J159" s="20" t="str"/>
      <x:c r="K159" s="20" t="str"/>
      <x:c r="L159" s="20" t="str">
        <x:v>仅记录类型与是否存在，不存原值</x:v>
      </x:c>
    </x:row>
    <x:row r="160" ht="66" customHeight="1">
      <x:c r="A160" s="20" t="str">
        <x:v>SYN-022</x:v>
      </x:c>
      <x:c r="B160" s="20" t="str">
        <x:v>auth.cvv_result</x:v>
      </x:c>
      <x:c r="C160" s="20" t="str">
        <x:v>CVV结果</x:v>
      </x:c>
      <x:c r="D160" s="20" t="str">
        <x:v>YES</x:v>
      </x:c>
      <x:c r="E160" s="20" t="str">
        <x:v>YES</x:v>
      </x:c>
      <x:c r="F160" s="20" t="str">
        <x:v>SYNTHETIC_MERCHANT_SYSTEM</x:v>
      </x:c>
      <x:c r="G160" s="20" t="str">
        <x:v>SIMULATED</x:v>
      </x:c>
      <x:c r="H160" s="20" t="str">
        <x:v>CONTEXTUAL</x:v>
      </x:c>
      <x:c r="I160" s="20" t="str">
        <x:v>核对卡背码验证结果</x:v>
      </x:c>
      <x:c r="J160" s="20" t="str"/>
      <x:c r="K160" s="20" t="str"/>
      <x:c r="L160" s="20" t="str">
        <x:v>仅记录类型与是否存在，不存原值</x:v>
      </x:c>
    </x:row>
    <x:row r="161" ht="66" customHeight="1">
      <x:c r="A161" s="20" t="str">
        <x:v>SYN-022</x:v>
      </x:c>
      <x:c r="B161" s="20" t="str">
        <x:v>auth.threeds</x:v>
      </x:c>
      <x:c r="C161" s="20" t="str">
        <x:v>3DS认证</x:v>
      </x:c>
      <x:c r="D161" s="20" t="str">
        <x:v>YES</x:v>
      </x:c>
      <x:c r="E161" s="20" t="str">
        <x:v>NO_OR_NOT_DISCLOSED</x:v>
      </x:c>
      <x:c r="F161" s="20" t="str">
        <x:v>NOT_DISCLOSED</x:v>
      </x:c>
      <x:c r="G161" s="20" t="str">
        <x:v>UNKNOWN</x:v>
      </x:c>
      <x:c r="H161" s="20" t="str">
        <x:v>YES</x:v>
      </x:c>
      <x:c r="I161" s="20" t="str">
        <x:v>核对强认证与责任转移</x:v>
      </x:c>
      <x:c r="J161" s="20" t="str">
        <x:v>可能降低可抗辩性或触发人工复核</x:v>
      </x:c>
      <x:c r="K161" s="20" t="str"/>
      <x:c r="L161" s="20" t="str">
        <x:v>仅记录类型与是否存在，不存原值</x:v>
      </x:c>
    </x:row>
    <x:row r="162" ht="66" customHeight="1">
      <x:c r="A162" s="20" t="str">
        <x:v>SYN-023</x:v>
      </x:c>
      <x:c r="B162" s="20" t="str">
        <x:v>transaction.receipt</x:v>
      </x:c>
      <x:c r="C162" s="20" t="str">
        <x:v>交易收据</x:v>
      </x:c>
      <x:c r="D162" s="20" t="str">
        <x:v>YES</x:v>
      </x:c>
      <x:c r="E162" s="20" t="str">
        <x:v>YES</x:v>
      </x:c>
      <x:c r="F162" s="20" t="str">
        <x:v>SYNTHETIC_MERCHANT_SYSTEM</x:v>
      </x:c>
      <x:c r="G162" s="20" t="str">
        <x:v>SIMULATED</x:v>
      </x:c>
      <x:c r="H162" s="20" t="str">
        <x:v>YES</x:v>
      </x:c>
      <x:c r="I162" s="20" t="str">
        <x:v>证明交易金额、时间和商户主体</x:v>
      </x:c>
      <x:c r="J162" s="20" t="str"/>
      <x:c r="K162" s="20" t="str"/>
      <x:c r="L162" s="20" t="str">
        <x:v>仅记录类型与是否存在，不存原值</x:v>
      </x:c>
    </x:row>
    <x:row r="163" ht="66" customHeight="1">
      <x:c r="A163" s="20" t="str">
        <x:v>SYN-023</x:v>
      </x:c>
      <x:c r="B163" s="20" t="str">
        <x:v>auth.avs_result</x:v>
      </x:c>
      <x:c r="C163" s="20" t="str">
        <x:v>AVS结果</x:v>
      </x:c>
      <x:c r="D163" s="20" t="str">
        <x:v>YES</x:v>
      </x:c>
      <x:c r="E163" s="20" t="str">
        <x:v>YES</x:v>
      </x:c>
      <x:c r="F163" s="20" t="str">
        <x:v>SYNTHETIC_MERCHANT_SYSTEM</x:v>
      </x:c>
      <x:c r="G163" s="20" t="str">
        <x:v>SIMULATED</x:v>
      </x:c>
      <x:c r="H163" s="20" t="str">
        <x:v>CONTEXTUAL</x:v>
      </x:c>
      <x:c r="I163" s="20" t="str">
        <x:v>核对账单地址验证结果</x:v>
      </x:c>
      <x:c r="J163" s="20" t="str"/>
      <x:c r="K163" s="20" t="str"/>
      <x:c r="L163" s="20" t="str">
        <x:v>仅记录类型与是否存在，不存原值</x:v>
      </x:c>
    </x:row>
    <x:row r="164" ht="66" customHeight="1">
      <x:c r="A164" s="20" t="str">
        <x:v>SYN-023</x:v>
      </x:c>
      <x:c r="B164" s="20" t="str">
        <x:v>auth.cvv_result</x:v>
      </x:c>
      <x:c r="C164" s="20" t="str">
        <x:v>CVV结果</x:v>
      </x:c>
      <x:c r="D164" s="20" t="str">
        <x:v>YES</x:v>
      </x:c>
      <x:c r="E164" s="20" t="str">
        <x:v>YES</x:v>
      </x:c>
      <x:c r="F164" s="20" t="str">
        <x:v>SYNTHETIC_MERCHANT_SYSTEM</x:v>
      </x:c>
      <x:c r="G164" s="20" t="str">
        <x:v>SIMULATED</x:v>
      </x:c>
      <x:c r="H164" s="20" t="str">
        <x:v>CONTEXTUAL</x:v>
      </x:c>
      <x:c r="I164" s="20" t="str">
        <x:v>核对卡背码验证结果</x:v>
      </x:c>
      <x:c r="J164" s="20" t="str"/>
      <x:c r="K164" s="20" t="str"/>
      <x:c r="L164" s="20" t="str">
        <x:v>仅记录类型与是否存在，不存原值</x:v>
      </x:c>
    </x:row>
    <x:row r="165" ht="66" customHeight="1">
      <x:c r="A165" s="20" t="str">
        <x:v>SYN-023</x:v>
      </x:c>
      <x:c r="B165" s="20" t="str">
        <x:v>auth.threeds</x:v>
      </x:c>
      <x:c r="C165" s="20" t="str">
        <x:v>3DS认证</x:v>
      </x:c>
      <x:c r="D165" s="20" t="str">
        <x:v>YES</x:v>
      </x:c>
      <x:c r="E165" s="20" t="str">
        <x:v>NO_OR_NOT_DISCLOSED</x:v>
      </x:c>
      <x:c r="F165" s="20" t="str">
        <x:v>NOT_DISCLOSED</x:v>
      </x:c>
      <x:c r="G165" s="20" t="str">
        <x:v>UNKNOWN</x:v>
      </x:c>
      <x:c r="H165" s="20" t="str">
        <x:v>YES</x:v>
      </x:c>
      <x:c r="I165" s="20" t="str">
        <x:v>核对强认证与责任转移</x:v>
      </x:c>
      <x:c r="J165" s="20" t="str">
        <x:v>可能降低可抗辩性或触发人工复核</x:v>
      </x:c>
      <x:c r="K165" s="20" t="str"/>
      <x:c r="L165" s="20" t="str">
        <x:v>仅记录类型与是否存在，不存原值</x:v>
      </x:c>
    </x:row>
    <x:row r="166" ht="66" customHeight="1">
      <x:c r="A166" s="20" t="str">
        <x:v>SYN-024</x:v>
      </x:c>
      <x:c r="B166" s="20" t="str">
        <x:v>transaction.receipt</x:v>
      </x:c>
      <x:c r="C166" s="20" t="str">
        <x:v>交易收据</x:v>
      </x:c>
      <x:c r="D166" s="20" t="str">
        <x:v>YES</x:v>
      </x:c>
      <x:c r="E166" s="20" t="str">
        <x:v>YES</x:v>
      </x:c>
      <x:c r="F166" s="20" t="str">
        <x:v>SYNTHETIC_MERCHANT_SYSTEM</x:v>
      </x:c>
      <x:c r="G166" s="20" t="str">
        <x:v>SIMULATED</x:v>
      </x:c>
      <x:c r="H166" s="20" t="str">
        <x:v>YES</x:v>
      </x:c>
      <x:c r="I166" s="20" t="str">
        <x:v>证明交易金额、时间和商户主体</x:v>
      </x:c>
      <x:c r="J166" s="20" t="str"/>
      <x:c r="K166" s="20" t="str"/>
      <x:c r="L166" s="20" t="str">
        <x:v>仅记录类型与是否存在，不存原值</x:v>
      </x:c>
    </x:row>
    <x:row r="167" ht="66" customHeight="1">
      <x:c r="A167" s="20" t="str">
        <x:v>SYN-024</x:v>
      </x:c>
      <x:c r="B167" s="20" t="str">
        <x:v>auth.avs_result</x:v>
      </x:c>
      <x:c r="C167" s="20" t="str">
        <x:v>AVS结果</x:v>
      </x:c>
      <x:c r="D167" s="20" t="str">
        <x:v>YES</x:v>
      </x:c>
      <x:c r="E167" s="20" t="str">
        <x:v>NO_OR_NOT_DISCLOSED</x:v>
      </x:c>
      <x:c r="F167" s="20" t="str">
        <x:v>NOT_DISCLOSED</x:v>
      </x:c>
      <x:c r="G167" s="20" t="str">
        <x:v>UNKNOWN</x:v>
      </x:c>
      <x:c r="H167" s="20" t="str">
        <x:v>CONTEXTUAL</x:v>
      </x:c>
      <x:c r="I167" s="20" t="str">
        <x:v>核对账单地址验证结果</x:v>
      </x:c>
      <x:c r="J167" s="20" t="str">
        <x:v>可能降低可抗辩性或触发人工复核</x:v>
      </x:c>
      <x:c r="K167" s="20" t="str"/>
      <x:c r="L167" s="20" t="str">
        <x:v>仅记录类型与是否存在，不存原值</x:v>
      </x:c>
    </x:row>
    <x:row r="168" ht="66" customHeight="1">
      <x:c r="A168" s="20" t="str">
        <x:v>SYN-024</x:v>
      </x:c>
      <x:c r="B168" s="20" t="str">
        <x:v>auth.cvv_result</x:v>
      </x:c>
      <x:c r="C168" s="20" t="str">
        <x:v>CVV结果</x:v>
      </x:c>
      <x:c r="D168" s="20" t="str">
        <x:v>YES</x:v>
      </x:c>
      <x:c r="E168" s="20" t="str">
        <x:v>NO_OR_NOT_DISCLOSED</x:v>
      </x:c>
      <x:c r="F168" s="20" t="str">
        <x:v>NOT_DISCLOSED</x:v>
      </x:c>
      <x:c r="G168" s="20" t="str">
        <x:v>UNKNOWN</x:v>
      </x:c>
      <x:c r="H168" s="20" t="str">
        <x:v>CONTEXTUAL</x:v>
      </x:c>
      <x:c r="I168" s="20" t="str">
        <x:v>核对卡背码验证结果</x:v>
      </x:c>
      <x:c r="J168" s="20" t="str">
        <x:v>可能降低可抗辩性或触发人工复核</x:v>
      </x:c>
      <x:c r="K168" s="20" t="str"/>
      <x:c r="L168" s="20" t="str">
        <x:v>仅记录类型与是否存在，不存原值</x:v>
      </x:c>
    </x:row>
    <x:row r="169" ht="66" customHeight="1">
      <x:c r="A169" s="20" t="str">
        <x:v>SYN-024</x:v>
      </x:c>
      <x:c r="B169" s="20" t="str">
        <x:v>auth.threeds</x:v>
      </x:c>
      <x:c r="C169" s="20" t="str">
        <x:v>3DS认证</x:v>
      </x:c>
      <x:c r="D169" s="20" t="str">
        <x:v>YES</x:v>
      </x:c>
      <x:c r="E169" s="20" t="str">
        <x:v>YES</x:v>
      </x:c>
      <x:c r="F169" s="20" t="str">
        <x:v>SYNTHETIC_MERCHANT_SYSTEM</x:v>
      </x:c>
      <x:c r="G169" s="20" t="str">
        <x:v>SIMULATED</x:v>
      </x:c>
      <x:c r="H169" s="20" t="str">
        <x:v>YES</x:v>
      </x:c>
      <x:c r="I169" s="20" t="str">
        <x:v>核对强认证与责任转移</x:v>
      </x:c>
      <x:c r="J169" s="20" t="str"/>
      <x:c r="K169" s="20" t="str"/>
      <x:c r="L169" s="20" t="str">
        <x:v>仅记录类型与是否存在，不存原值</x:v>
      </x:c>
    </x:row>
  </x:sheetData>
  <x:pageMargins left="0.7" right="0.7" top="0.75" bottom="0.75" header="0.3" footer="0.3"/>
  <x:tableParts count="1">
    <x:tablePart xmlns:r="http://schemas.openxmlformats.org/officeDocument/2006/relationships" r:id="R81e59564015d40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28" hidden="0" customWidth="1"/>
    <x:col min="4" max="4" width="100" hidden="0" customWidth="1"/>
    <x:col min="5" max="5" width="18" hidden="0" customWidth="1"/>
    <x:col min="6" max="6" width="16" hidden="0" customWidth="1"/>
    <x:col min="7" max="7" width="24" hidden="0" customWidth="1"/>
    <x:col min="8" max="8" width="44" hidden="0" customWidth="1"/>
  </x:cols>
  <x:sheetData>
    <x:row r="1" ht="34" customHeight="1">
      <x:c r="A1" s="19" t="str">
        <x:v>source_id</x:v>
      </x:c>
      <x:c r="B1" s="19" t="str">
        <x:v>title</x:v>
      </x:c>
      <x:c r="C1" s="19" t="str">
        <x:v>institution</x:v>
      </x:c>
      <x:c r="D1" s="19" t="str">
        <x:v>url</x:v>
      </x:c>
      <x:c r="E1" s="19" t="str">
        <x:v>publication_date</x:v>
      </x:c>
      <x:c r="F1" s="19" t="str">
        <x:v>accessed_date</x:v>
      </x:c>
      <x:c r="G1" s="19" t="str">
        <x:v>authenticity</x:v>
      </x:c>
      <x:c r="H1" s="19" t="str">
        <x:v>scope_notes</x:v>
      </x:c>
    </x:row>
    <x:row r="2" ht="66" customHeight="1">
      <x:c r="A2" s="20" t="str">
        <x:v>SRC-FOS</x:v>
      </x:c>
      <x:c r="B2" s="20" t="str">
        <x:v>Financial Ombudsman Service final decisions database</x:v>
      </x:c>
      <x:c r="C2" s="20" t="str">
        <x:v>Financial Ombudsman Service</x:v>
      </x:c>
      <x:c r="D2" s="24" t="str">
        <x:v>https://www.financial-ombudsman.org.uk/businesses/resolving-complaint/ombudsman-decisions/search</x:v>
      </x:c>
      <x:c r="E2" s="20" t="str">
        <x:v>NOT_DISCLOSED</x:v>
      </x:c>
      <x:c r="F2" s="20" t="str">
        <x:v>2026-08-14</x:v>
      </x:c>
      <x:c r="G2" s="20" t="str">
        <x:v>PUBLIC_FINAL_DECISION</x:v>
      </x:c>
      <x:c r="H2" s="20" t="str">
        <x:v>公开匿名最终决定；裁决对象通常是金融机构的处理，不等同卡组织仲裁</x:v>
      </x:c>
    </x:row>
    <x:row r="3" ht="66" customHeight="1">
      <x:c r="A3" s="20" t="str">
        <x:v>SRC-VISA-LIB</x:v>
      </x:c>
      <x:c r="B3" s="20" t="str">
        <x:v>Visa Merchant Resource Library</x:v>
      </x:c>
      <x:c r="C3" s="20" t="str">
        <x:v>Visa</x:v>
      </x:c>
      <x:c r="D3" s="24" t="str">
        <x:v>https://usa.visa.com/support/merchant/library.html</x:v>
      </x:c>
      <x:c r="E3" s="20" t="str">
        <x:v>NOT_DISCLOSED</x:v>
      </x:c>
      <x:c r="F3" s="20" t="str">
        <x:v>2026-08-14</x:v>
      </x:c>
      <x:c r="G3" s="20" t="str">
        <x:v>OFFICIAL_RULE_EXAMPLE</x:v>
      </x:c>
      <x:c r="H3" s="20" t="str">
        <x:v>卡组织商户争议资料入口</x:v>
      </x:c>
    </x:row>
    <x:row r="4" ht="66" customHeight="1">
      <x:c r="A4" s="20" t="str">
        <x:v>SRC-VISA-CE3</x:v>
      </x:c>
      <x:c r="B4" s="20" t="str">
        <x:v>Visa Compelling Evidence 3.0 Merchant Readiness</x:v>
      </x:c>
      <x:c r="C4" s="20" t="str">
        <x:v>Visa</x:v>
      </x:c>
      <x:c r="D4" s="24" t="str">
        <x:v>https://usa.visa.com/content/dam/VCOM/regional/na/us/support-legal/documents/compelling-evidence-3.0-merchant-readiness-mar2023.pdf</x:v>
      </x:c>
      <x:c r="E4" s="20" t="str">
        <x:v>NOT_DISCLOSED</x:v>
      </x:c>
      <x:c r="F4" s="20" t="str">
        <x:v>2026-08-14</x:v>
      </x:c>
      <x:c r="G4" s="20" t="str">
        <x:v>OFFICIAL_RULE_EXAMPLE</x:v>
      </x:c>
      <x:c r="H4" s="20" t="str">
        <x:v>历史交易、设备等证据示例；不是个案结果</x:v>
      </x:c>
    </x:row>
    <x:row r="5" ht="66" customHeight="1">
      <x:c r="A5" s="20" t="str">
        <x:v>SRC-MC</x:v>
      </x:c>
      <x:c r="B5" s="20" t="str">
        <x:v>Mastercard Chargeback Guide</x:v>
      </x:c>
      <x:c r="C5" s="20" t="str">
        <x:v>Mastercard</x:v>
      </x:c>
      <x:c r="D5" s="24" t="str">
        <x:v>https://www.mastercard.us/content/dam/public/mastercardcom/na/global-site/documents/chargeback-guide.pdf</x:v>
      </x:c>
      <x:c r="E5" s="20" t="str">
        <x:v>NOT_DISCLOSED</x:v>
      </x:c>
      <x:c r="F5" s="20" t="str">
        <x:v>2026-08-14</x:v>
      </x:c>
      <x:c r="G5" s="20" t="str">
        <x:v>OFFICIAL_RULE_EXAMPLE</x:v>
      </x:c>
      <x:c r="H5" s="20" t="str">
        <x:v>流程、理由与证据规则；版本适用性需业务确认</x:v>
      </x:c>
    </x:row>
    <x:row r="6" ht="66" customHeight="1">
      <x:c r="A6" s="20" t="str">
        <x:v>SRC-STRIPE-VIS</x:v>
      </x:c>
      <x:c r="B6" s="20" t="str">
        <x:v>Visual evidence packets</x:v>
      </x:c>
      <x:c r="C6" s="20" t="str">
        <x:v>Stripe</x:v>
      </x:c>
      <x:c r="D6" s="24" t="str">
        <x:v>https://docs.stripe.com/disputes/visual-evidence</x:v>
      </x:c>
      <x:c r="E6" s="20" t="str">
        <x:v>NOT_DISCLOSED</x:v>
      </x:c>
      <x:c r="F6" s="20" t="str">
        <x:v>2026-08-14</x:v>
      </x:c>
      <x:c r="G6" s="20" t="str">
        <x:v>OFFICIAL_RULE_EXAMPLE</x:v>
      </x:c>
      <x:c r="H6" s="20" t="str">
        <x:v>证据包视觉与结构示例</x:v>
      </x:c>
    </x:row>
    <x:row r="7" ht="66" customHeight="1">
      <x:c r="A7" s="20" t="str">
        <x:v>SRC-STRIPE-BEST</x:v>
      </x:c>
      <x:c r="B7" s="20" t="str">
        <x:v>Dispute evidence best practices</x:v>
      </x:c>
      <x:c r="C7" s="20" t="str">
        <x:v>Stripe</x:v>
      </x:c>
      <x:c r="D7" s="24" t="str">
        <x:v>https://docs.stripe.com/disputes/best-practices</x:v>
      </x:c>
      <x:c r="E7" s="20" t="str">
        <x:v>NOT_DISCLOSED</x:v>
      </x:c>
      <x:c r="F7" s="20" t="str">
        <x:v>2026-08-14</x:v>
      </x:c>
      <x:c r="G7" s="20" t="str">
        <x:v>OFFICIAL_RULE_EXAMPLE</x:v>
      </x:c>
      <x:c r="H7" s="20" t="str">
        <x:v>证据相关性、可读性与提交建议</x:v>
      </x:c>
    </x:row>
    <x:row r="8" ht="66" customHeight="1">
      <x:c r="A8" s="20" t="str">
        <x:v>SRC-STRIPE-LIFE</x:v>
      </x:c>
      <x:c r="B8" s="20" t="str">
        <x:v>How disputes work</x:v>
      </x:c>
      <x:c r="C8" s="20" t="str">
        <x:v>Stripe</x:v>
      </x:c>
      <x:c r="D8" s="24" t="str">
        <x:v>https://docs.stripe.com/disputes/how-disputes-work</x:v>
      </x:c>
      <x:c r="E8" s="20" t="str">
        <x:v>NOT_DISCLOSED</x:v>
      </x:c>
      <x:c r="F8" s="20" t="str">
        <x:v>2026-08-14</x:v>
      </x:c>
      <x:c r="G8" s="20" t="str">
        <x:v>OFFICIAL_RULE_EXAMPLE</x:v>
      </x:c>
      <x:c r="H8" s="20" t="str">
        <x:v>争议生命周期与状态；时限因网络和地区而异</x:v>
      </x:c>
    </x:row>
    <x:row r="9" ht="66" customHeight="1">
      <x:c r="A9" s="20" t="str">
        <x:v>SRC-AIRWALLEX</x:v>
      </x:c>
      <x:c r="B9" s="20" t="str">
        <x:v>Dispute flow</x:v>
      </x:c>
      <x:c r="C9" s="20" t="str">
        <x:v>Airwallex</x:v>
      </x:c>
      <x:c r="D9" s="24" t="str">
        <x:v>https://www.airwallex.com/docs/payments/payment-operations/disputes/dispute-flow</x:v>
      </x:c>
      <x:c r="E9" s="20" t="str">
        <x:v>NOT_DISCLOSED</x:v>
      </x:c>
      <x:c r="F9" s="20" t="str">
        <x:v>2026-08-14</x:v>
      </x:c>
      <x:c r="G9" s="20" t="str">
        <x:v>OFFICIAL_RULE_EXAMPLE</x:v>
      </x:c>
      <x:c r="H9" s="20" t="str">
        <x:v>争议、预仲裁及状态流程</x:v>
      </x:c>
    </x:row>
    <x:row r="10" ht="66" customHeight="1">
      <x:c r="A10" s="20" t="str">
        <x:v>SRC-ADYEN</x:v>
      </x:c>
      <x:c r="B10" s="20" t="str">
        <x:v>Dispute reason codes</x:v>
      </x:c>
      <x:c r="C10" s="20" t="str">
        <x:v>Adyen</x:v>
      </x:c>
      <x:c r="D10" s="24" t="str">
        <x:v>https://docs.adyen.com/risk-management/understanding-disputes/dispute-reason-codes</x:v>
      </x:c>
      <x:c r="E10" s="20" t="str">
        <x:v>NOT_DISCLOSED</x:v>
      </x:c>
      <x:c r="F10" s="20" t="str">
        <x:v>2026-08-14</x:v>
      </x:c>
      <x:c r="G10" s="20" t="str">
        <x:v>OFFICIAL_RULE_EXAMPLE</x:v>
      </x:c>
      <x:c r="H10" s="20" t="str">
        <x:v>理由码与抗辩材料概览</x:v>
      </x:c>
    </x:row>
    <x:row r="11" ht="66" customHeight="1">
      <x:c r="A11" s="20" t="str">
        <x:v>SRC-JPM</x:v>
      </x:c>
      <x:c r="B11" s="20" t="str">
        <x:v>Dispute Management User Guide</x:v>
      </x:c>
      <x:c r="C11" s="20" t="str">
        <x:v>J.P. Morgan</x:v>
      </x:c>
      <x:c r="D11" s="24" t="str">
        <x:v>https://www.jpmorgan.com/content/dam/jpmorgan/documents/payments/client-resource-center/asset-files/pdfs/dispute-managment-user-guide-new-updates-1.pdf</x:v>
      </x:c>
      <x:c r="E11" s="20" t="str">
        <x:v>NOT_DISCLOSED</x:v>
      </x:c>
      <x:c r="F11" s="20" t="str">
        <x:v>2026-08-14</x:v>
      </x:c>
      <x:c r="G11" s="20" t="str">
        <x:v>OFFICIAL_RULE_EXAMPLE</x:v>
      </x:c>
      <x:c r="H11" s="20" t="str">
        <x:v>案件字段与结果状态参考</x:v>
      </x:c>
    </x:row>
    <x:row r="12" ht="66" customHeight="1">
      <x:c r="A12" s="20" t="str">
        <x:v>SRC-DRN-4956156</x:v>
      </x:c>
      <x:c r="B12" s="20" t="str">
        <x:v>Decision DRN-4956156</x:v>
      </x:c>
      <x:c r="C12" s="20" t="str">
        <x:v>Financial Ombudsman Service</x:v>
      </x:c>
      <x:c r="D12" s="24" t="str">
        <x:v>https://www.financial-ombudsman.org.uk/decision/DRN-4956156.pdf</x:v>
      </x:c>
      <x:c r="E12" s="20" t="str">
        <x:v>NOT_DISCLOSED</x:v>
      </x:c>
      <x:c r="F12" s="20" t="str">
        <x:v>2026-08-14</x:v>
      </x:c>
      <x:c r="G12" s="20" t="str">
        <x:v>PUBLIC_FINAL_DECISION</x:v>
      </x:c>
      <x:c r="H12" s="20" t="str">
        <x:v>公开匿名最终决定；仅摘要与结果层级</x:v>
      </x:c>
    </x:row>
    <x:row r="13" ht="66" customHeight="1">
      <x:c r="A13" s="20" t="str">
        <x:v>SRC-DRN-5553620</x:v>
      </x:c>
      <x:c r="B13" s="20" t="str">
        <x:v>Decision DRN-5553620</x:v>
      </x:c>
      <x:c r="C13" s="20" t="str">
        <x:v>Financial Ombudsman Service</x:v>
      </x:c>
      <x:c r="D13" s="24" t="str">
        <x:v>https://www.financial-ombudsman.org.uk/decision/DRN-5553620.pdf</x:v>
      </x:c>
      <x:c r="E13" s="20" t="str">
        <x:v>NOT_DISCLOSED</x:v>
      </x:c>
      <x:c r="F13" s="20" t="str">
        <x:v>2026-08-14</x:v>
      </x:c>
      <x:c r="G13" s="20" t="str">
        <x:v>PUBLIC_FINAL_DECISION</x:v>
      </x:c>
      <x:c r="H13" s="20" t="str">
        <x:v>公开匿名最终决定；仅摘要与结果层级</x:v>
      </x:c>
    </x:row>
    <x:row r="14" ht="66" customHeight="1">
      <x:c r="A14" s="20" t="str">
        <x:v>SRC-DRN-4634402</x:v>
      </x:c>
      <x:c r="B14" s="20" t="str">
        <x:v>Decision DRN-4634402</x:v>
      </x:c>
      <x:c r="C14" s="20" t="str">
        <x:v>Financial Ombudsman Service</x:v>
      </x:c>
      <x:c r="D14" s="24" t="str">
        <x:v>https://www.financial-ombudsman.org.uk/decision/DRN-4634402.pdf</x:v>
      </x:c>
      <x:c r="E14" s="20" t="str">
        <x:v>NOT_DISCLOSED</x:v>
      </x:c>
      <x:c r="F14" s="20" t="str">
        <x:v>2026-08-14</x:v>
      </x:c>
      <x:c r="G14" s="20" t="str">
        <x:v>PUBLIC_FINAL_DECISION</x:v>
      </x:c>
      <x:c r="H14" s="20" t="str">
        <x:v>公开匿名最终决定；仅摘要与结果层级</x:v>
      </x:c>
    </x:row>
    <x:row r="15" ht="66" customHeight="1">
      <x:c r="A15" s="20" t="str">
        <x:v>SRC-DRN-3125371</x:v>
      </x:c>
      <x:c r="B15" s="20" t="str">
        <x:v>Decision DRN-3125371</x:v>
      </x:c>
      <x:c r="C15" s="20" t="str">
        <x:v>Financial Ombudsman Service</x:v>
      </x:c>
      <x:c r="D15" s="24" t="str">
        <x:v>https://www.financial-ombudsman.org.uk/decision/DRN-3125371.pdf</x:v>
      </x:c>
      <x:c r="E15" s="20" t="str">
        <x:v>NOT_DISCLOSED</x:v>
      </x:c>
      <x:c r="F15" s="20" t="str">
        <x:v>2026-08-14</x:v>
      </x:c>
      <x:c r="G15" s="20" t="str">
        <x:v>PUBLIC_FINAL_DECISION</x:v>
      </x:c>
      <x:c r="H15" s="20" t="str">
        <x:v>公开匿名最终决定；仅摘要与结果层级</x:v>
      </x:c>
    </x:row>
    <x:row r="16" ht="66" customHeight="1">
      <x:c r="A16" s="20" t="str">
        <x:v>SRC-DRN-5947106</x:v>
      </x:c>
      <x:c r="B16" s="20" t="str">
        <x:v>Decision DRN-5947106</x:v>
      </x:c>
      <x:c r="C16" s="20" t="str">
        <x:v>Financial Ombudsman Service</x:v>
      </x:c>
      <x:c r="D16" s="24" t="str">
        <x:v>https://www.financial-ombudsman.org.uk/decision/DRN-5947106.pdf</x:v>
      </x:c>
      <x:c r="E16" s="20" t="str">
        <x:v>NOT_DISCLOSED</x:v>
      </x:c>
      <x:c r="F16" s="20" t="str">
        <x:v>2026-08-14</x:v>
      </x:c>
      <x:c r="G16" s="20" t="str">
        <x:v>PUBLIC_FINAL_DECISION</x:v>
      </x:c>
      <x:c r="H16" s="20" t="str">
        <x:v>公开匿名最终决定；仅摘要与结果层级</x:v>
      </x:c>
    </x:row>
    <x:row r="17" ht="66" customHeight="1">
      <x:c r="A17" s="20" t="str">
        <x:v>SRC-DRN-5250346</x:v>
      </x:c>
      <x:c r="B17" s="20" t="str">
        <x:v>Decision DRN-5250346</x:v>
      </x:c>
      <x:c r="C17" s="20" t="str">
        <x:v>Financial Ombudsman Service</x:v>
      </x:c>
      <x:c r="D17" s="24" t="str">
        <x:v>https://www.financial-ombudsman.org.uk/decision/DRN-5250346.pdf</x:v>
      </x:c>
      <x:c r="E17" s="20" t="str">
        <x:v>NOT_DISCLOSED</x:v>
      </x:c>
      <x:c r="F17" s="20" t="str">
        <x:v>2026-08-14</x:v>
      </x:c>
      <x:c r="G17" s="20" t="str">
        <x:v>PUBLIC_FINAL_DECISION</x:v>
      </x:c>
      <x:c r="H17" s="20" t="str">
        <x:v>公开匿名最终决定；仅摘要与结果层级</x:v>
      </x:c>
    </x:row>
    <x:row r="18" ht="66" customHeight="1">
      <x:c r="A18" s="20" t="str">
        <x:v>SRC-DRN-4400167</x:v>
      </x:c>
      <x:c r="B18" s="20" t="str">
        <x:v>Decision DRN-4400167</x:v>
      </x:c>
      <x:c r="C18" s="20" t="str">
        <x:v>Financial Ombudsman Service</x:v>
      </x:c>
      <x:c r="D18" s="24" t="str">
        <x:v>https://www.financial-ombudsman.org.uk/decision/DRN-4400167.pdf</x:v>
      </x:c>
      <x:c r="E18" s="20" t="str">
        <x:v>NOT_DISCLOSED</x:v>
      </x:c>
      <x:c r="F18" s="20" t="str">
        <x:v>2026-08-14</x:v>
      </x:c>
      <x:c r="G18" s="20" t="str">
        <x:v>PUBLIC_FINAL_DECISION</x:v>
      </x:c>
      <x:c r="H18" s="20" t="str">
        <x:v>公开匿名最终决定；仅摘要与结果层级</x:v>
      </x:c>
    </x:row>
    <x:row r="19" ht="66" customHeight="1">
      <x:c r="A19" s="20" t="str">
        <x:v>SRC-DRN-3728445</x:v>
      </x:c>
      <x:c r="B19" s="20" t="str">
        <x:v>Decision DRN-3728445</x:v>
      </x:c>
      <x:c r="C19" s="20" t="str">
        <x:v>Financial Ombudsman Service</x:v>
      </x:c>
      <x:c r="D19" s="24" t="str">
        <x:v>https://www.financial-ombudsman.org.uk/decision/DRN-3728445.pdf</x:v>
      </x:c>
      <x:c r="E19" s="20" t="str">
        <x:v>NOT_DISCLOSED</x:v>
      </x:c>
      <x:c r="F19" s="20" t="str">
        <x:v>2026-08-14</x:v>
      </x:c>
      <x:c r="G19" s="20" t="str">
        <x:v>PUBLIC_FINAL_DECISION</x:v>
      </x:c>
      <x:c r="H19" s="20" t="str">
        <x:v>公开匿名最终决定；仅摘要与结果层级</x:v>
      </x:c>
    </x:row>
    <x:row r="20" ht="66" customHeight="1">
      <x:c r="A20" s="20" t="str">
        <x:v>SRC-DRN6563116</x:v>
      </x:c>
      <x:c r="B20" s="20" t="str">
        <x:v>Decision DRN6563116</x:v>
      </x:c>
      <x:c r="C20" s="20" t="str">
        <x:v>Financial Ombudsman Service</x:v>
      </x:c>
      <x:c r="D20" s="24" t="str">
        <x:v>https://www.financial-ombudsman.org.uk/decision/DRN6563116.pdf</x:v>
      </x:c>
      <x:c r="E20" s="20" t="str">
        <x:v>NOT_DISCLOSED</x:v>
      </x:c>
      <x:c r="F20" s="20" t="str">
        <x:v>2026-08-14</x:v>
      </x:c>
      <x:c r="G20" s="20" t="str">
        <x:v>PUBLIC_FINAL_DECISION</x:v>
      </x:c>
      <x:c r="H20" s="20" t="str">
        <x:v>公开匿名最终决定；仅摘要与结果层级</x:v>
      </x:c>
    </x:row>
    <x:row r="21" ht="66" customHeight="1">
      <x:c r="A21" s="20" t="str">
        <x:v>SRC-DRN-3004919</x:v>
      </x:c>
      <x:c r="B21" s="20" t="str">
        <x:v>Decision DRN-3004919</x:v>
      </x:c>
      <x:c r="C21" s="20" t="str">
        <x:v>Financial Ombudsman Service</x:v>
      </x:c>
      <x:c r="D21" s="24" t="str">
        <x:v>https://www.financial-ombudsman.org.uk/decision/DRN-3004919.pdf</x:v>
      </x:c>
      <x:c r="E21" s="20" t="str">
        <x:v>NOT_DISCLOSED</x:v>
      </x:c>
      <x:c r="F21" s="20" t="str">
        <x:v>2026-08-14</x:v>
      </x:c>
      <x:c r="G21" s="20" t="str">
        <x:v>PUBLIC_FINAL_DECISION</x:v>
      </x:c>
      <x:c r="H21" s="20" t="str">
        <x:v>公开匿名最终决定；仅摘要与结果层级</x:v>
      </x:c>
    </x:row>
    <x:row r="22" ht="66" customHeight="1">
      <x:c r="A22" s="20" t="str">
        <x:v>SRC-DRN-3058378</x:v>
      </x:c>
      <x:c r="B22" s="20" t="str">
        <x:v>Decision DRN-3058378</x:v>
      </x:c>
      <x:c r="C22" s="20" t="str">
        <x:v>Financial Ombudsman Service</x:v>
      </x:c>
      <x:c r="D22" s="24" t="str">
        <x:v>https://www.financial-ombudsman.org.uk/decision/DRN-3058378.pdf</x:v>
      </x:c>
      <x:c r="E22" s="20" t="str">
        <x:v>NOT_DISCLOSED</x:v>
      </x:c>
      <x:c r="F22" s="20" t="str">
        <x:v>2026-08-14</x:v>
      </x:c>
      <x:c r="G22" s="20" t="str">
        <x:v>PUBLIC_FINAL_DECISION</x:v>
      </x:c>
      <x:c r="H22" s="20" t="str">
        <x:v>公开匿名最终决定；仅摘要与结果层级</x:v>
      </x:c>
    </x:row>
    <x:row r="23" ht="66" customHeight="1">
      <x:c r="A23" s="20" t="str">
        <x:v>SRC-DRN-4403335</x:v>
      </x:c>
      <x:c r="B23" s="20" t="str">
        <x:v>Decision DRN-4403335</x:v>
      </x:c>
      <x:c r="C23" s="20" t="str">
        <x:v>Financial Ombudsman Service</x:v>
      </x:c>
      <x:c r="D23" s="24" t="str">
        <x:v>https://www.financial-ombudsman.org.uk/decision/DRN-4403335.pdf</x:v>
      </x:c>
      <x:c r="E23" s="20" t="str">
        <x:v>NOT_DISCLOSED</x:v>
      </x:c>
      <x:c r="F23" s="20" t="str">
        <x:v>2026-08-14</x:v>
      </x:c>
      <x:c r="G23" s="20" t="str">
        <x:v>PUBLIC_FINAL_DECISION</x:v>
      </x:c>
      <x:c r="H23" s="20" t="str">
        <x:v>公开匿名最终决定；仅摘要与结果层级</x:v>
      </x:c>
    </x:row>
  </x:sheetData>
  <x:pageMargins left="0.7" right="0.7" top="0.75" bottom="0.75" header="0.3" footer="0.3"/>
  <x:tableParts count="1">
    <x:tablePart xmlns:r="http://schemas.openxmlformats.org/officeDocument/2006/relationships" r:id="R35a22363307044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</x:cols>
  <x:sheetData>
    <x:row r="1" ht="34" customHeight="1">
      <x:c r="A1" s="19" t="str">
        <x:v>category</x:v>
      </x:c>
      <x:c r="B1" s="19" t="str">
        <x:v>enum_value</x:v>
      </x:c>
      <x:c r="C1" s="19" t="str">
        <x:v>中文说明</x:v>
      </x:c>
    </x:row>
    <x:row r="2" ht="26" customHeight="1">
      <x:c r="A2" s="20" t="str">
        <x:v>reason_code</x:v>
      </x:c>
      <x:c r="B2" s="20" t="str">
        <x:v>FRAUD_CARD_NOT_PRESENT</x:v>
      </x:c>
      <x:c r="C2" s="20" t="str">
        <x:v>无卡欺诈</x:v>
      </x:c>
    </x:row>
    <x:row r="3" ht="26" customHeight="1">
      <x:c r="A3" s="20" t="str">
        <x:v>reason_code</x:v>
      </x:c>
      <x:c r="B3" s="20" t="str">
        <x:v>PRODUCT_NOT_RECEIVED</x:v>
      </x:c>
      <x:c r="C3" s="20" t="str">
        <x:v>未收到</x:v>
      </x:c>
    </x:row>
    <x:row r="4" ht="26" customHeight="1">
      <x:c r="A4" s="20" t="str">
        <x:v>reason_code</x:v>
      </x:c>
      <x:c r="B4" s="20" t="str">
        <x:v>PRODUCT_NOT_AS_DESCRIBED</x:v>
      </x:c>
      <x:c r="C4" s="20" t="str">
        <x:v>与描述不符</x:v>
      </x:c>
    </x:row>
    <x:row r="5" ht="26" customHeight="1">
      <x:c r="A5" s="20" t="str">
        <x:v>reason_code</x:v>
      </x:c>
      <x:c r="B5" s="20" t="str">
        <x:v>DUPLICATE_PROCESSING</x:v>
      </x:c>
      <x:c r="C5" s="20" t="str">
        <x:v>重复扣款</x:v>
      </x:c>
    </x:row>
    <x:row r="6" ht="26" customHeight="1">
      <x:c r="A6" s="20" t="str">
        <x:v>reason_code</x:v>
      </x:c>
      <x:c r="B6" s="20" t="str">
        <x:v>CREDIT_NOT_PROCESSED</x:v>
      </x:c>
      <x:c r="C6" s="20" t="str">
        <x:v>退款未入账</x:v>
      </x:c>
    </x:row>
    <x:row r="7" ht="26" customHeight="1">
      <x:c r="A7" s="20" t="str">
        <x:v>reason_code</x:v>
      </x:c>
      <x:c r="B7" s="20" t="str">
        <x:v>SUBSCRIPTION_CANCELED</x:v>
      </x:c>
      <x:c r="C7" s="20" t="str">
        <x:v>取消后扣款</x:v>
      </x:c>
    </x:row>
    <x:row r="8" ht="26" customHeight="1">
      <x:c r="A8" s="20" t="str">
        <x:v>reason_code</x:v>
      </x:c>
      <x:c r="B8" s="20" t="str">
        <x:v>AUTHORIZATION_ERROR</x:v>
      </x:c>
      <x:c r="C8" s="20" t="str">
        <x:v>授权错误</x:v>
      </x:c>
    </x:row>
    <x:row r="9" ht="26" customHeight="1">
      <x:c r="A9" s="20" t="str">
        <x:v>evidence_code</x:v>
      </x:c>
      <x:c r="B9" s="20" t="str">
        <x:v>transaction.receipt</x:v>
      </x:c>
      <x:c r="C9" s="20" t="str">
        <x:v>交易收据</x:v>
      </x:c>
    </x:row>
    <x:row r="10" ht="26" customHeight="1">
      <x:c r="A10" s="20" t="str">
        <x:v>evidence_code</x:v>
      </x:c>
      <x:c r="B10" s="20" t="str">
        <x:v>auth.avs_result</x:v>
      </x:c>
      <x:c r="C10" s="20" t="str">
        <x:v>AVS结果</x:v>
      </x:c>
    </x:row>
    <x:row r="11" ht="26" customHeight="1">
      <x:c r="A11" s="20" t="str">
        <x:v>evidence_code</x:v>
      </x:c>
      <x:c r="B11" s="20" t="str">
        <x:v>auth.cvv_result</x:v>
      </x:c>
      <x:c r="C11" s="20" t="str">
        <x:v>CVV结果</x:v>
      </x:c>
    </x:row>
    <x:row r="12" ht="26" customHeight="1">
      <x:c r="A12" s="20" t="str">
        <x:v>evidence_code</x:v>
      </x:c>
      <x:c r="B12" s="20" t="str">
        <x:v>auth.threeds</x:v>
      </x:c>
      <x:c r="C12" s="20" t="str">
        <x:v>3DS认证</x:v>
      </x:c>
    </x:row>
    <x:row r="13" ht="26" customHeight="1">
      <x:c r="A13" s="20" t="str">
        <x:v>evidence_code</x:v>
      </x:c>
      <x:c r="B13" s="20" t="str">
        <x:v>auth.device_ip_match</x:v>
      </x:c>
      <x:c r="C13" s="20" t="str">
        <x:v>设备/IP匹配</x:v>
      </x:c>
    </x:row>
    <x:row r="14" ht="26" customHeight="1">
      <x:c r="A14" s="20" t="str">
        <x:v>evidence_code</x:v>
      </x:c>
      <x:c r="B14" s="20" t="str">
        <x:v>fulfillment.tracking</x:v>
      </x:c>
      <x:c r="C14" s="20" t="str">
        <x:v>物流轨迹</x:v>
      </x:c>
    </x:row>
    <x:row r="15" ht="26" customHeight="1">
      <x:c r="A15" s="20" t="str">
        <x:v>evidence_code</x:v>
      </x:c>
      <x:c r="B15" s="20" t="str">
        <x:v>fulfillment.proof_of_delivery</x:v>
      </x:c>
      <x:c r="C15" s="20" t="str">
        <x:v>签收证明</x:v>
      </x:c>
    </x:row>
    <x:row r="16" ht="26" customHeight="1">
      <x:c r="A16" s="20" t="str">
        <x:v>evidence_code</x:v>
      </x:c>
      <x:c r="B16" s="20" t="str">
        <x:v>fulfillment.address_match</x:v>
      </x:c>
      <x:c r="C16" s="20" t="str">
        <x:v>地址匹配</x:v>
      </x:c>
    </x:row>
    <x:row r="17" ht="26" customHeight="1">
      <x:c r="A17" s="20" t="str">
        <x:v>evidence_code</x:v>
      </x:c>
      <x:c r="B17" s="20" t="str">
        <x:v>product.description</x:v>
      </x:c>
      <x:c r="C17" s="20" t="str">
        <x:v>商品描述</x:v>
      </x:c>
    </x:row>
    <x:row r="18" ht="26" customHeight="1">
      <x:c r="A18" s="20" t="str">
        <x:v>evidence_code</x:v>
      </x:c>
      <x:c r="B18" s="20" t="str">
        <x:v>billing.refund_record</x:v>
      </x:c>
      <x:c r="C18" s="20" t="str">
        <x:v>退款记录</x:v>
      </x:c>
    </x:row>
    <x:row r="19" ht="26" customHeight="1">
      <x:c r="A19" s="20" t="str">
        <x:v>evidence_code</x:v>
      </x:c>
      <x:c r="B19" s="20" t="str">
        <x:v>policy.terms_refund</x:v>
      </x:c>
      <x:c r="C19" s="20" t="str">
        <x:v>条款与退款政策</x:v>
      </x:c>
    </x:row>
    <x:row r="20" ht="26" customHeight="1">
      <x:c r="A20" s="20" t="str">
        <x:v>evidence_code</x:v>
      </x:c>
      <x:c r="B20" s="20" t="str">
        <x:v>comms.customer</x:v>
      </x:c>
      <x:c r="C20" s="20" t="str">
        <x:v>客户沟通</x:v>
      </x:c>
    </x:row>
    <x:row r="21" ht="26" customHeight="1">
      <x:c r="A21" s="20" t="str">
        <x:v>evidence_code</x:v>
      </x:c>
      <x:c r="B21" s="20" t="str">
        <x:v>subscription.cancellation_record</x:v>
      </x:c>
      <x:c r="C21" s="20" t="str">
        <x:v>取消记录</x:v>
      </x:c>
    </x:row>
    <x:row r="22" ht="26" customHeight="1">
      <x:c r="A22" s="20" t="str">
        <x:v>evidence_code</x:v>
      </x:c>
      <x:c r="B22" s="20" t="str">
        <x:v>history.prior_transactions</x:v>
      </x:c>
      <x:c r="C22" s="20" t="str">
        <x:v>历史交易</x:v>
      </x:c>
    </x:row>
    <x:row r="23" ht="26" customHeight="1">
      <x:c r="A23" s="20" t="str">
        <x:v>evidence_code</x:v>
      </x:c>
      <x:c r="B23" s="20" t="str">
        <x:v>billing.duplicate_check</x:v>
      </x:c>
      <x:c r="C23" s="20" t="str">
        <x:v>重复核查</x:v>
      </x:c>
    </x:row>
    <x:row r="24" ht="26" customHeight="1">
      <x:c r="A24" s="20" t="str">
        <x:v>responsible_team</x:v>
      </x:c>
      <x:c r="B24" s="20" t="str">
        <x:v>BUSINESS</x:v>
      </x:c>
      <x:c r="C24" s="20" t="str">
        <x:v>BUSINESS</x:v>
      </x:c>
    </x:row>
    <x:row r="25" ht="26" customHeight="1">
      <x:c r="A25" s="20" t="str">
        <x:v>responsible_team</x:v>
      </x:c>
      <x:c r="B25" s="20" t="str">
        <x:v>TECHNICAL_SUPPORT</x:v>
      </x:c>
      <x:c r="C25" s="20" t="str">
        <x:v>TECHNICAL_SUPPORT</x:v>
      </x:c>
    </x:row>
    <x:row r="26" ht="26" customHeight="1">
      <x:c r="A26" s="20" t="str">
        <x:v>responsible_team</x:v>
      </x:c>
      <x:c r="B26" s="20" t="str">
        <x:v>RISK</x:v>
      </x:c>
      <x:c r="C26" s="20" t="str">
        <x:v>RISK</x:v>
      </x:c>
    </x:row>
    <x:row r="27" ht="26" customHeight="1">
      <x:c r="A27" s="20" t="str">
        <x:v>responsible_team</x:v>
      </x:c>
      <x:c r="B27" s="20" t="str">
        <x:v>FINANCE</x:v>
      </x:c>
      <x:c r="C27" s="20" t="str">
        <x:v>FINANCE</x:v>
      </x:c>
    </x:row>
    <x:row r="28" ht="26" customHeight="1">
      <x:c r="A28" s="20" t="str">
        <x:v>responsible_team</x:v>
      </x:c>
      <x:c r="B28" s="20" t="str">
        <x:v>CUSTOMER_SUPPORT</x:v>
      </x:c>
      <x:c r="C28" s="20" t="str">
        <x:v>CUSTOMER_SUPPORT</x:v>
      </x:c>
    </x:row>
    <x:row r="29" ht="26" customHeight="1">
      <x:c r="A29" s="20" t="str">
        <x:v>responsible_team</x:v>
      </x:c>
      <x:c r="B29" s="20" t="str">
        <x:v>PSP_SUPPORT</x:v>
      </x:c>
      <x:c r="C29" s="20" t="str">
        <x:v>PSP_SUPPORT</x:v>
      </x:c>
    </x:row>
    <x:row r="30" ht="26" customHeight="1">
      <x:c r="A30" s="20" t="str">
        <x:v>phase</x:v>
      </x:c>
      <x:c r="B30" s="20" t="str">
        <x:v>INTAKE</x:v>
      </x:c>
      <x:c r="C30" s="20" t="str">
        <x:v>INTAKE</x:v>
      </x:c>
    </x:row>
    <x:row r="31" ht="26" customHeight="1">
      <x:c r="A31" s="20" t="str">
        <x:v>phase</x:v>
      </x:c>
      <x:c r="B31" s="20" t="str">
        <x:v>CLASSIFY</x:v>
      </x:c>
      <x:c r="C31" s="20" t="str">
        <x:v>CLASSIFY</x:v>
      </x:c>
    </x:row>
    <x:row r="32" ht="26" customHeight="1">
      <x:c r="A32" s="20" t="str">
        <x:v>phase</x:v>
      </x:c>
      <x:c r="B32" s="20" t="str">
        <x:v>COLLECT</x:v>
      </x:c>
      <x:c r="C32" s="20" t="str">
        <x:v>COLLECT</x:v>
      </x:c>
    </x:row>
    <x:row r="33" ht="26" customHeight="1">
      <x:c r="A33" s="20" t="str">
        <x:v>phase</x:v>
      </x:c>
      <x:c r="B33" s="20" t="str">
        <x:v>REVIEW</x:v>
      </x:c>
      <x:c r="C33" s="20" t="str">
        <x:v>REVIEW</x:v>
      </x:c>
    </x:row>
    <x:row r="34" ht="26" customHeight="1">
      <x:c r="A34" s="20" t="str">
        <x:v>phase</x:v>
      </x:c>
      <x:c r="B34" s="20" t="str">
        <x:v>DECIDE</x:v>
      </x:c>
      <x:c r="C34" s="20" t="str">
        <x:v>DECIDE</x:v>
      </x:c>
    </x:row>
    <x:row r="35" ht="26" customHeight="1">
      <x:c r="A35" s="20" t="str">
        <x:v>phase</x:v>
      </x:c>
      <x:c r="B35" s="20" t="str">
        <x:v>PACKAGE</x:v>
      </x:c>
      <x:c r="C35" s="20" t="str">
        <x:v>PACKAGE</x:v>
      </x:c>
    </x:row>
    <x:row r="36" ht="26" customHeight="1">
      <x:c r="A36" s="20" t="str">
        <x:v>phase</x:v>
      </x:c>
      <x:c r="B36" s="20" t="str">
        <x:v>OUTCOME</x:v>
      </x:c>
      <x:c r="C36" s="20" t="str">
        <x:v>OUTCOME</x:v>
      </x:c>
    </x:row>
    <x:row r="37" ht="26" customHeight="1">
      <x:c r="A37" s="20" t="str">
        <x:v>authenticity</x:v>
      </x:c>
      <x:c r="B37" s="20" t="str">
        <x:v>PUBLIC_FINAL_DECISION</x:v>
      </x:c>
      <x:c r="C37" s="20" t="str">
        <x:v>PUBLIC_FINAL_DECISION</x:v>
      </x:c>
    </x:row>
    <x:row r="38" ht="26" customHeight="1">
      <x:c r="A38" s="20" t="str">
        <x:v>authenticity</x:v>
      </x:c>
      <x:c r="B38" s="20" t="str">
        <x:v>OFFICIAL_RULE_EXAMPLE</x:v>
      </x:c>
      <x:c r="C38" s="20" t="str">
        <x:v>OFFICIAL_RULE_EXAMPLE</x:v>
      </x:c>
    </x:row>
    <x:row r="39" ht="26" customHeight="1">
      <x:c r="A39" s="20" t="str">
        <x:v>authenticity</x:v>
      </x:c>
      <x:c r="B39" s="20" t="str">
        <x:v>RULE_DERIVED_SYNTHETIC</x:v>
      </x:c>
      <x:c r="C39" s="20" t="str">
        <x:v>RULE_DERIVED_SYNTHETIC</x:v>
      </x:c>
    </x:row>
    <x:row r="40" ht="26" customHeight="1">
      <x:c r="A40" s="20" t="str">
        <x:v>chargeback_outcome</x:v>
      </x:c>
      <x:c r="B40" s="20" t="str">
        <x:v>MERCHANT_PREVAILED</x:v>
      </x:c>
      <x:c r="C40" s="20" t="str">
        <x:v>MERCHANT_PREVAILED</x:v>
      </x:c>
    </x:row>
    <x:row r="41" ht="26" customHeight="1">
      <x:c r="A41" s="20" t="str">
        <x:v>chargeback_outcome</x:v>
      </x:c>
      <x:c r="B41" s="20" t="str">
        <x:v>DISCONTINUED</x:v>
      </x:c>
      <x:c r="C41" s="20" t="str">
        <x:v>DISCONTINUED</x:v>
      </x:c>
    </x:row>
    <x:row r="42" ht="26" customHeight="1">
      <x:c r="A42" s="20" t="str">
        <x:v>chargeback_outcome</x:v>
      </x:c>
      <x:c r="B42" s="20" t="str">
        <x:v>NOT_RAISED</x:v>
      </x:c>
      <x:c r="C42" s="20" t="str">
        <x:v>NOT_RAISED</x:v>
      </x:c>
    </x:row>
    <x:row r="43" ht="26" customHeight="1">
      <x:c r="A43" s="20" t="str">
        <x:v>chargeback_outcome</x:v>
      </x:c>
      <x:c r="B43" s="20" t="str">
        <x:v>NOT_PURSUED</x:v>
      </x:c>
      <x:c r="C43" s="20" t="str">
        <x:v>NOT_PURSUED</x:v>
      </x:c>
    </x:row>
    <x:row r="44" ht="26" customHeight="1">
      <x:c r="A44" s="20" t="str">
        <x:v>chargeback_outcome</x:v>
      </x:c>
      <x:c r="B44" s="20" t="str">
        <x:v>EXPECTED_WON</x:v>
      </x:c>
      <x:c r="C44" s="20" t="str">
        <x:v>EXPECTED_WON</x:v>
      </x:c>
    </x:row>
    <x:row r="45" ht="26" customHeight="1">
      <x:c r="A45" s="20" t="str">
        <x:v>chargeback_outcome</x:v>
      </x:c>
      <x:c r="B45" s="20" t="str">
        <x:v>EXPECTED_LOST</x:v>
      </x:c>
      <x:c r="C45" s="20" t="str">
        <x:v>EXPECTED_LOST</x:v>
      </x:c>
    </x:row>
    <x:row r="46" ht="26" customHeight="1">
      <x:c r="A46" s="20" t="str">
        <x:v>chargeback_outcome</x:v>
      </x:c>
      <x:c r="B46" s="20" t="str">
        <x:v>EXPECTED_PENDING</x:v>
      </x:c>
      <x:c r="C46" s="20" t="str">
        <x:v>EXPECTED_PENDING</x:v>
      </x:c>
    </x:row>
  </x:sheetData>
  <x:pageMargins left="0.7" right="0.7" top="0.75" bottom="0.75" header="0.3" footer="0.3"/>
  <x:tableParts count="1">
    <x:tablePart xmlns:r="http://schemas.openxmlformats.org/officeDocument/2006/relationships" r:id="Rc7ef68b8193241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4" max="4" width="30" hidden="0" customWidth="1"/>
    <x:col min="5" max="5" width="12" hidden="0" customWidth="1"/>
    <x:col min="7" max="7" width="24" hidden="0" customWidth="1"/>
    <x:col min="8" max="8" width="12" hidden="0" customWidth="1"/>
    <x:col min="10" max="10" width="18" hidden="0" customWidth="1"/>
    <x:col min="11" max="11" width="12" hidden="0" customWidth="1"/>
    <x:col min="12" max="12" width="12" hidden="0" customWidth="1"/>
  </x:cols>
  <x:sheetData>
    <x:row r="1" ht="42" customHeight="1">
      <x:c r="A1" s="25" t="str">
        <x:v>覆盖看板｜36个案例的结构与测试覆盖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3" ht="26" customHeight="1">
      <x:c r="A3" s="28" t="str">
        <x:v>指标</x:v>
      </x:c>
      <x:c r="B3" s="28" t="str">
        <x:v>数量</x:v>
      </x:c>
      <x:c r="D3" s="28" t="str">
        <x:v>理由族</x:v>
      </x:c>
      <x:c r="E3" s="28" t="str">
        <x:v>案例数</x:v>
      </x:c>
      <x:c r="G3" s="28" t="str">
        <x:v>责任团队</x:v>
      </x:c>
      <x:c r="H3" s="28" t="str">
        <x:v>案例数</x:v>
      </x:c>
      <x:c r="J3" s="28" t="str">
        <x:v>验收项</x:v>
      </x:c>
      <x:c r="K3" s="28" t="str">
        <x:v>目标</x:v>
      </x:c>
      <x:c r="L3" s="28" t="str">
        <x:v>当前</x:v>
      </x:c>
    </x:row>
    <x:row r="4" ht="26" customHeight="1">
      <x:c r="A4" s="26" t="str">
        <x:v>案例总数</x:v>
      </x:c>
      <x:c r="B4" s="26" t="n">
        <x:f>COUNTA('案例总表'!$A$2:$A$37)</x:f>
        <x:v>36</x:v>
      </x:c>
      <x:c r="D4" s="26" t="str">
        <x:v>FRAUD_CARD_NOT_PRESENT</x:v>
      </x:c>
      <x:c r="E4" s="26" t="n">
        <x:f>COUNTIF('案例总表'!$M$2:$M$37,D4)</x:f>
        <x:v>5</x:v>
      </x:c>
      <x:c r="G4" s="26" t="str">
        <x:v>BUSINESS</x:v>
      </x:c>
      <x:c r="H4" s="26" t="n">
        <x:f>COUNTIF('案例总表'!$X$2:$X$37,G4)</x:f>
        <x:v>6</x:v>
      </x:c>
      <x:c r="J4" s="26" t="str">
        <x:v>总案例</x:v>
      </x:c>
      <x:c r="K4" s="26" t="n">
        <x:v>36</x:v>
      </x:c>
      <x:c r="L4" s="26" t="n">
        <x:f>B4</x:f>
        <x:v>36</x:v>
      </x:c>
    </x:row>
    <x:row r="5" ht="26" customHeight="1">
      <x:c r="A5" s="26" t="str">
        <x:v>公开最终决定</x:v>
      </x:c>
      <x:c r="B5" s="26" t="n">
        <x:f>COUNTIF('案例总表'!$C$2:$C$37,"PUBLIC_FINAL_DECISION")</x:f>
        <x:v>12</x:v>
      </x:c>
      <x:c r="D5" s="26" t="str">
        <x:v>PRODUCT_NOT_RECEIVED</x:v>
      </x:c>
      <x:c r="E5" s="26" t="n">
        <x:f>COUNTIF('案例总表'!$M$2:$M$37,D5)</x:f>
        <x:v>11</x:v>
      </x:c>
      <x:c r="G5" s="26" t="str">
        <x:v>TECHNICAL_SUPPORT</x:v>
      </x:c>
      <x:c r="H5" s="26" t="n">
        <x:f>COUNTIF('案例总表'!$X$2:$X$37,G5)</x:f>
        <x:v>3</x:v>
      </x:c>
      <x:c r="J5" s="26" t="str">
        <x:v>公开案例</x:v>
      </x:c>
      <x:c r="K5" s="26" t="n">
        <x:v>12</x:v>
      </x:c>
      <x:c r="L5" s="26" t="n">
        <x:f>B5</x:f>
        <x:v>12</x:v>
      </x:c>
    </x:row>
    <x:row r="6" ht="26" customHeight="1">
      <x:c r="A6" s="26" t="str">
        <x:v>规则推演合成</x:v>
      </x:c>
      <x:c r="B6" s="26" t="n">
        <x:f>COUNTIF('案例总表'!$C$2:$C$37,"RULE_DERIVED_SYNTHETIC")</x:f>
        <x:v>24</x:v>
      </x:c>
      <x:c r="D6" s="26" t="str">
        <x:v>PRODUCT_NOT_AS_DESCRIBED</x:v>
      </x:c>
      <x:c r="E6" s="26" t="n">
        <x:f>COUNTIF('案例总表'!$M$2:$M$37,D6)</x:f>
        <x:v>6</x:v>
      </x:c>
      <x:c r="G6" s="26" t="str">
        <x:v>RISK</x:v>
      </x:c>
      <x:c r="H6" s="26" t="n">
        <x:f>COUNTIF('案例总表'!$X$2:$X$37,G6)</x:f>
        <x:v>5</x:v>
      </x:c>
      <x:c r="J6" s="26" t="str">
        <x:v>合成案例</x:v>
      </x:c>
      <x:c r="K6" s="26" t="n">
        <x:v>24</x:v>
      </x:c>
      <x:c r="L6" s="26" t="n">
        <x:f>B6</x:f>
        <x:v>24</x:v>
      </x:c>
    </x:row>
    <x:row r="7" ht="26" customHeight="1">
      <x:c r="D7" s="26" t="str">
        <x:v>DUPLICATE_PROCESSING</x:v>
      </x:c>
      <x:c r="E7" s="26" t="n">
        <x:f>COUNTIF('案例总表'!$M$2:$M$37,D7)</x:f>
        <x:v>3</x:v>
      </x:c>
      <x:c r="G7" s="26" t="str">
        <x:v>FINANCE</x:v>
      </x:c>
      <x:c r="H7" s="26" t="n">
        <x:f>COUNTIF('案例总表'!$X$2:$X$37,G7)</x:f>
        <x:v>4</x:v>
      </x:c>
      <x:c r="J7" s="26" t="str">
        <x:v>每类至少</x:v>
      </x:c>
      <x:c r="K7" s="26" t="n">
        <x:v>3</x:v>
      </x:c>
      <x:c r="L7" s="26" t="n">
        <x:f>MIN(E4:E10)</x:f>
        <x:v>3</x:v>
      </x:c>
    </x:row>
    <x:row r="8" ht="26" customHeight="1">
      <x:c r="D8" s="26" t="str">
        <x:v>CREDIT_NOT_PROCESSED</x:v>
      </x:c>
      <x:c r="E8" s="26" t="n">
        <x:f>COUNTIF('案例总表'!$M$2:$M$37,D8)</x:f>
        <x:v>4</x:v>
      </x:c>
      <x:c r="G8" s="26" t="str">
        <x:v>CUSTOMER_SUPPORT</x:v>
      </x:c>
      <x:c r="H8" s="26" t="n">
        <x:f>COUNTIF('案例总表'!$X$2:$X$37,G8)</x:f>
        <x:v>15</x:v>
      </x:c>
      <x:c r="J8" s="26" t="str">
        <x:v>证据码覆盖</x:v>
      </x:c>
      <x:c r="K8" s="26" t="n">
        <x:v>15</x:v>
      </x:c>
      <x:c r="L8" s="26" t="n">
        <x:f>COUNTA('枚举映射'!$B$9:$B$23)</x:f>
        <x:v>15</x:v>
      </x:c>
    </x:row>
    <x:row r="9" ht="26" customHeight="1">
      <x:c r="D9" s="26" t="str">
        <x:v>SUBSCRIPTION_CANCELED</x:v>
      </x:c>
      <x:c r="E9" s="26" t="n">
        <x:f>COUNTIF('案例总表'!$M$2:$M$37,D9)</x:f>
        <x:v>4</x:v>
      </x:c>
      <x:c r="G9" s="26" t="str">
        <x:v>PSP_SUPPORT</x:v>
      </x:c>
      <x:c r="H9" s="26" t="n">
        <x:f>COUNTIF('案例总表'!$X$2:$X$37,G9)</x:f>
        <x:v>3</x:v>
      </x:c>
    </x:row>
    <x:row r="10" ht="26" customHeight="1">
      <x:c r="D10" s="26" t="str">
        <x:v>AUTHORIZATION_ERROR</x:v>
      </x:c>
      <x:c r="E10" s="26" t="n">
        <x:f>COUNTIF('案例总表'!$M$2:$M$37,D10)</x:f>
        <x:v>3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4c635e3a402c4dfa"/>
</x:worksheet>
</file>